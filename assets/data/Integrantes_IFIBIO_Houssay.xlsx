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dos los Integrantes (Web)" sheetId="1" state="visible" r:id="rId3"/>
    <sheet name="Resumen por Laboratorio" sheetId="2" state="visible" r:id="rId4"/>
    <sheet name="Resumen actualizado" sheetId="3" state="visible" r:id="rId5"/>
    <sheet name="Nómina depurada" sheetId="4" state="visible" r:id="rId6"/>
    <sheet name="Exintegrantes" sheetId="5" state="visible" r:id="rId7"/>
    <sheet name="Discrepancias" sheetId="6" state="visible" r:id="rId8"/>
    <sheet name="Fuentes y método" sheetId="7" state="visible" r:id="rId9"/>
    <sheet name="Organigrama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<sst xmlns="http://schemas.openxmlformats.org/spreadsheetml/2006/main" count="3622" uniqueCount="551">
  <si>
    <t xml:space="preserve">INSTITUTO DE FISIOLOGIA Y BIOFISICA BERNARDO HOUSSAY (IFIBIO HOUSSAY)</t>
  </si>
  <si>
    <t xml:space="preserve">Nómina Enriquecida con Laboratorios y Grupos de Investigación (Memoria UE + Sitio Web Oficial)</t>
  </si>
  <si>
    <t xml:space="preserve">#</t>
  </si>
  <si>
    <t xml:space="preserve">Apellido y Nombre</t>
  </si>
  <si>
    <t xml:space="preserve">Grupo / Sección Memoria</t>
  </si>
  <si>
    <t xml:space="preserve">Rol / Función</t>
  </si>
  <si>
    <t xml:space="preserve">Pertenencia</t>
  </si>
  <si>
    <t xml:space="preserve">Categoría / Cargo</t>
  </si>
  <si>
    <t xml:space="preserve">Laboratorio / Grupo Principal (Web)</t>
  </si>
  <si>
    <t xml:space="preserve">Línea Temática / Subgrupo</t>
  </si>
  <si>
    <t xml:space="preserve">MURER, MARIO GUSTAVO</t>
  </si>
  <si>
    <t xml:space="preserve">Director / Vicedirector</t>
  </si>
  <si>
    <t xml:space="preserve">Director</t>
  </si>
  <si>
    <t xml:space="preserve">CONICET</t>
  </si>
  <si>
    <t xml:space="preserve">INV SUPERIOR</t>
  </si>
  <si>
    <t xml:space="preserve">Grupo de Neurociencia de Sistemas</t>
  </si>
  <si>
    <t xml:space="preserve">Fisiología de Circuitos Neuronales</t>
  </si>
  <si>
    <t xml:space="preserve">BELFORTE, JUAN EMILIO</t>
  </si>
  <si>
    <t xml:space="preserve">Vicedirector</t>
  </si>
  <si>
    <t xml:space="preserve">INV INDEPENDIENTE</t>
  </si>
  <si>
    <t xml:space="preserve">Fisiología de la Conducta Animal</t>
  </si>
  <si>
    <t xml:space="preserve">RIVAROLA, VALERIA</t>
  </si>
  <si>
    <t xml:space="preserve">Consejo Directivo</t>
  </si>
  <si>
    <t xml:space="preserve">Representante Investigador</t>
  </si>
  <si>
    <t xml:space="preserve">INV ADJUNTO</t>
  </si>
  <si>
    <t xml:space="preserve">Laboratorio de Biomembranas</t>
  </si>
  <si>
    <t xml:space="preserve">Trastornos del Equilibrio Ácido Base</t>
  </si>
  <si>
    <t xml:space="preserve">DI GIUSTO, GISELA</t>
  </si>
  <si>
    <t xml:space="preserve">Migración Celular</t>
  </si>
  <si>
    <t xml:space="preserve">BELTRAMONE, NATALIA</t>
  </si>
  <si>
    <t xml:space="preserve">Representante Personal de Apoyo</t>
  </si>
  <si>
    <t xml:space="preserve">TECNICO PRINCIPAL</t>
  </si>
  <si>
    <t xml:space="preserve">Personal de Apoyo (CPA)</t>
  </si>
  <si>
    <t xml:space="preserve">Técnico Principal</t>
  </si>
  <si>
    <t xml:space="preserve">PAGANI, MARIO RAFAEL</t>
  </si>
  <si>
    <t xml:space="preserve">Genética del Aprendizaje</t>
  </si>
  <si>
    <t xml:space="preserve">KASANETZ, FERNANDO</t>
  </si>
  <si>
    <t xml:space="preserve">Fisiología del Dolor</t>
  </si>
  <si>
    <t xml:space="preserve">Investigadores CONICET</t>
  </si>
  <si>
    <t xml:space="preserve">Investigador</t>
  </si>
  <si>
    <t xml:space="preserve">BERNABEU, RAMON OSCAR</t>
  </si>
  <si>
    <t xml:space="preserve">INV PRINCIPAL</t>
  </si>
  <si>
    <t xml:space="preserve">Grupo de Pez Cebra</t>
  </si>
  <si>
    <t xml:space="preserve">Neurobiología de las Adicciones</t>
  </si>
  <si>
    <t xml:space="preserve">CAPURRO, CLAUDIA GRACIELA</t>
  </si>
  <si>
    <t xml:space="preserve">Fisiología y Fisiopatología de las Acuaporinas</t>
  </si>
  <si>
    <t xml:space="preserve">DAMIANO, ALICIA ERMELINDA</t>
  </si>
  <si>
    <t xml:space="preserve">Laboratorio de Biología de la Reproducción</t>
  </si>
  <si>
    <t xml:space="preserve">Biología de la Reproducción</t>
  </si>
  <si>
    <t xml:space="preserve">AMARAL, MARÍA MARTA</t>
  </si>
  <si>
    <t xml:space="preserve">Laboratorio de Fisiopatogenia</t>
  </si>
  <si>
    <t xml:space="preserve">Mecanismos del SUH y Toxina Shiga</t>
  </si>
  <si>
    <t xml:space="preserve">FAILLACE, MARIA PAULA</t>
  </si>
  <si>
    <t xml:space="preserve">Neurobiología de la Retina</t>
  </si>
  <si>
    <t xml:space="preserve">FORD, PAULA</t>
  </si>
  <si>
    <t xml:space="preserve">Biofísica de Aquaporinas</t>
  </si>
  <si>
    <t xml:space="preserve">GOLDSTEIN RAIJ, JORGE</t>
  </si>
  <si>
    <t xml:space="preserve">Laboratorio de Neurofisiopatología</t>
  </si>
  <si>
    <t xml:space="preserve">Neurofisiopatología</t>
  </si>
  <si>
    <t xml:space="preserve">MÜLLER IGAZ, LIONEL IVAN</t>
  </si>
  <si>
    <t xml:space="preserve">Fisiopatología Neuronal</t>
  </si>
  <si>
    <t xml:space="preserve">RELA, LORENA</t>
  </si>
  <si>
    <t xml:space="preserve">Formación de Redes Neurales</t>
  </si>
  <si>
    <t xml:space="preserve">BELLO GAY, ESTEFANIA PILAR</t>
  </si>
  <si>
    <t xml:space="preserve">Neurofisiología de la Motivación</t>
  </si>
  <si>
    <t xml:space="preserve">BLAKE, MARIANO GUILLERMO</t>
  </si>
  <si>
    <t xml:space="preserve">Laboratorio Neuropsicología de la Performance</t>
  </si>
  <si>
    <t xml:space="preserve">Neuropsicología de la Performance</t>
  </si>
  <si>
    <t xml:space="preserve">BUMASCHNY, VIVIANA FLORENCIA</t>
  </si>
  <si>
    <t xml:space="preserve">Neuroendocrinología Molecular</t>
  </si>
  <si>
    <t xml:space="preserve">KATZ, MAXIMILIANO JAVIER</t>
  </si>
  <si>
    <t xml:space="preserve">Genética de la Comunicación entre Órganos</t>
  </si>
  <si>
    <t xml:space="preserve">MARQUES DA SILVA, WANDERSON</t>
  </si>
  <si>
    <t xml:space="preserve">Pathogenesis de E. coli y Toxina Shiga</t>
  </si>
  <si>
    <t xml:space="preserve">MARTINEZ, NORA ALICIA</t>
  </si>
  <si>
    <t xml:space="preserve">Patogénesis Entérica</t>
  </si>
  <si>
    <t xml:space="preserve">NETTI, VANINA ALEJANDRA</t>
  </si>
  <si>
    <t xml:space="preserve">Biofísica Epitelial y Placentaria</t>
  </si>
  <si>
    <t xml:space="preserve">PAFUNDO, DIEGO ESTEBAN</t>
  </si>
  <si>
    <t xml:space="preserve">Bases Neuronales de la Cognición</t>
  </si>
  <si>
    <t xml:space="preserve">SACERDOTI, FLAVIA</t>
  </si>
  <si>
    <t xml:space="preserve">Mecanismos del SUH</t>
  </si>
  <si>
    <t xml:space="preserve">TORIANO, ROXANA MABEL</t>
  </si>
  <si>
    <t xml:space="preserve">Modelado Molecular y Diseño de Drogas</t>
  </si>
  <si>
    <t xml:space="preserve">ZOLD, CAMILA LIDIA</t>
  </si>
  <si>
    <t xml:space="preserve">Neurofisiología del Aprendizaje</t>
  </si>
  <si>
    <t xml:space="preserve">SZPILBARG, NATALIA</t>
  </si>
  <si>
    <t xml:space="preserve">INV ASISTENTE</t>
  </si>
  <si>
    <t xml:space="preserve">Síndrome Urémico Hemolítico</t>
  </si>
  <si>
    <t xml:space="preserve">TUBERT, CECILIA</t>
  </si>
  <si>
    <t xml:space="preserve">VALDIVIA TORRES, LESLY SPRING</t>
  </si>
  <si>
    <t xml:space="preserve">Desórdenes Neurológicos y Psiquiátricos</t>
  </si>
  <si>
    <t xml:space="preserve">VARANI, ANDRÉS PABLO</t>
  </si>
  <si>
    <t xml:space="preserve">Fisiología del Sistema Nervioso Central</t>
  </si>
  <si>
    <t xml:space="preserve">IBARRA, CRISTINA ADRIANA</t>
  </si>
  <si>
    <t xml:space="preserve">CONICET Contratados</t>
  </si>
  <si>
    <t xml:space="preserve">Investigador Contratado</t>
  </si>
  <si>
    <t xml:space="preserve">INV. PRINCIPAL AD-HONOREM</t>
  </si>
  <si>
    <t xml:space="preserve">Directora Lab. Fisiopatogenia</t>
  </si>
  <si>
    <t xml:space="preserve">CELI CASTILLO, ANA BEATRIZ</t>
  </si>
  <si>
    <t xml:space="preserve">Becarios CONICET</t>
  </si>
  <si>
    <t xml:space="preserve">Becario</t>
  </si>
  <si>
    <t xml:space="preserve">Int. Doctoral Proyectos UE</t>
  </si>
  <si>
    <t xml:space="preserve">GOMEZ, FERNANDO DANIEL</t>
  </si>
  <si>
    <t xml:space="preserve">Mecanismos de Toxina Shiga</t>
  </si>
  <si>
    <t xml:space="preserve">GIRÓN REYES, CLAUDIO DANIEL</t>
  </si>
  <si>
    <t xml:space="preserve">DOC. C/PAISES LATINOAMERICANOS</t>
  </si>
  <si>
    <t xml:space="preserve">Toxina Shiga y SUH</t>
  </si>
  <si>
    <t xml:space="preserve">COLL, CAMILA</t>
  </si>
  <si>
    <t xml:space="preserve">BECA INTERNA DOCTORAL</t>
  </si>
  <si>
    <t xml:space="preserve">Neurociencias</t>
  </si>
  <si>
    <t xml:space="preserve">FERNANDEZ, NAZARENA SOL</t>
  </si>
  <si>
    <t xml:space="preserve">FULGINITI, NICOLÁS MARCELO</t>
  </si>
  <si>
    <t xml:space="preserve">GOMEZ ACOSTA, MARTINA</t>
  </si>
  <si>
    <t xml:space="preserve">MOLINA PONCE, TOMÁS IGNACIO</t>
  </si>
  <si>
    <t xml:space="preserve">ORTIZ, JOAQUIN</t>
  </si>
  <si>
    <t xml:space="preserve">Fisiopatología del SUH</t>
  </si>
  <si>
    <t xml:space="preserve">SANTOS, MARÍA FLORENCIA</t>
  </si>
  <si>
    <t xml:space="preserve">SIERRA, MATIAS NICOLAS</t>
  </si>
  <si>
    <t xml:space="preserve">STAHL, AGOSTINA MÓNICA</t>
  </si>
  <si>
    <t xml:space="preserve">TRUJILLO, MARÍA JESÚS</t>
  </si>
  <si>
    <t xml:space="preserve">UEHARA, JUAN MARTÍN</t>
  </si>
  <si>
    <t xml:space="preserve">CUTRERA, NICOLAS MARIA</t>
  </si>
  <si>
    <t xml:space="preserve">INTERNA DE FIN DE DOCTORADO</t>
  </si>
  <si>
    <t xml:space="preserve">FOTTI, JAVIER HERNÁN</t>
  </si>
  <si>
    <t xml:space="preserve">Formación de Redes Neurales / Olfato</t>
  </si>
  <si>
    <t xml:space="preserve">GIOIA, DAIANA SOLANGE</t>
  </si>
  <si>
    <t xml:space="preserve">ROCCO, LEANDRO CARLOS CATRIEL</t>
  </si>
  <si>
    <t xml:space="preserve">MONTENEGRO, MAURICIO NORMAN</t>
  </si>
  <si>
    <t xml:space="preserve">POST.DOCTORAL INT.</t>
  </si>
  <si>
    <t xml:space="preserve">Fisiología del Sistema Nervioso</t>
  </si>
  <si>
    <t xml:space="preserve">GIUGOVAZ TROPPER, BARBARA ANGELICA</t>
  </si>
  <si>
    <t xml:space="preserve">Personal de Apoyo CONICET</t>
  </si>
  <si>
    <t xml:space="preserve">Personal de Apoyo</t>
  </si>
  <si>
    <t xml:space="preserve">PROFESIONAL PRINCIP.</t>
  </si>
  <si>
    <t xml:space="preserve">Servicios / Apoyo Téchinco</t>
  </si>
  <si>
    <t xml:space="preserve">Profesional Principal</t>
  </si>
  <si>
    <t xml:space="preserve">VALVERDE, ESTEBAN RAUL</t>
  </si>
  <si>
    <t xml:space="preserve">PROFESIONAL ADJUNTO</t>
  </si>
  <si>
    <t xml:space="preserve">Servicios / Apoyo Técnico</t>
  </si>
  <si>
    <t xml:space="preserve">Profesional Adjunto</t>
  </si>
  <si>
    <t xml:space="preserve">CASAL, JUAN JOSÉ</t>
  </si>
  <si>
    <t xml:space="preserve">PROFESIONAL ASISTEN.</t>
  </si>
  <si>
    <t xml:space="preserve">Profesional Asistente</t>
  </si>
  <si>
    <t xml:space="preserve">LA IACONA, GERMAN NICOLAS</t>
  </si>
  <si>
    <t xml:space="preserve">RISSO, VERÓNICA BELEN</t>
  </si>
  <si>
    <t xml:space="preserve">LÓPEZ DÍAZ, ANALÍA VALERIA</t>
  </si>
  <si>
    <t xml:space="preserve">TECNICO ASOCIADO</t>
  </si>
  <si>
    <t xml:space="preserve">Técnico Asociado</t>
  </si>
  <si>
    <t xml:space="preserve">GARBINI, LUCÍA MARÍA</t>
  </si>
  <si>
    <t xml:space="preserve">TECNICO ASISTENTE</t>
  </si>
  <si>
    <t xml:space="preserve">Técnico Asistente</t>
  </si>
  <si>
    <t xml:space="preserve">PRESTA, AGOSTINA</t>
  </si>
  <si>
    <t xml:space="preserve">CEDEÑO VITERI, WILLIAM JORDI</t>
  </si>
  <si>
    <t xml:space="preserve">Personal No CONICET</t>
  </si>
  <si>
    <t xml:space="preserve">NO CONICET</t>
  </si>
  <si>
    <t xml:space="preserve">FARES TAIE, FELIX</t>
  </si>
  <si>
    <t xml:space="preserve">LAZARO, LUIS</t>
  </si>
  <si>
    <t xml:space="preserve">OCHOA, FEDERICO CLAUDIO</t>
  </si>
  <si>
    <t xml:space="preserve">POLOTTO, CAMILA MARÍA</t>
  </si>
  <si>
    <t xml:space="preserve">SANCHEZ ARMIJOS, KIANNY MIROSLAVA</t>
  </si>
  <si>
    <t xml:space="preserve">SILBERSTEIN, CLAUDIA MARCELA</t>
  </si>
  <si>
    <t xml:space="preserve">Laboratorio de Fisiología Renal</t>
  </si>
  <si>
    <t xml:space="preserve">Directora Lab. Fisiología Renal</t>
  </si>
  <si>
    <t xml:space="preserve">VASSALLU, MARÍA FLORENCIA</t>
  </si>
  <si>
    <t xml:space="preserve">ZOTTA, ELSA</t>
  </si>
  <si>
    <t xml:space="preserve">COSTANZO, MARIA LUJAN</t>
  </si>
  <si>
    <t xml:space="preserve">Personal de Gestión CONICET</t>
  </si>
  <si>
    <t xml:space="preserve">Personal de Gestión</t>
  </si>
  <si>
    <t xml:space="preserve">GRAL. CONT. ART9C06</t>
  </si>
  <si>
    <t xml:space="preserve">Gestión y Administración</t>
  </si>
  <si>
    <t xml:space="preserve">MAMANI, ANA ELIZABETH</t>
  </si>
  <si>
    <t xml:space="preserve">GRAL. CONT. ART9C05</t>
  </si>
  <si>
    <t xml:space="preserve">DELLA MAGGIORE, VALERIA</t>
  </si>
  <si>
    <t xml:space="preserve">Integrantes Sitio Web</t>
  </si>
  <si>
    <t xml:space="preserve">Investigador / IR</t>
  </si>
  <si>
    <t xml:space="preserve">IFIBIO / CONICET</t>
  </si>
  <si>
    <t xml:space="preserve">Investigadora Principal</t>
  </si>
  <si>
    <t xml:space="preserve">Fisiología de la Acción</t>
  </si>
  <si>
    <t xml:space="preserve">BELLUSCIO, MARIANO ANDRES</t>
  </si>
  <si>
    <t xml:space="preserve">Investigador Adjunto</t>
  </si>
  <si>
    <t xml:space="preserve">Bases Neuronales del Comportamiento</t>
  </si>
  <si>
    <t xml:space="preserve">RICHAUDEAU, ALBA</t>
  </si>
  <si>
    <t xml:space="preserve">IFIBIO / UBA</t>
  </si>
  <si>
    <t xml:space="preserve">Investigadora</t>
  </si>
  <si>
    <t xml:space="preserve">Grupo de Neuropsicología del Neurodesarrollo</t>
  </si>
  <si>
    <t xml:space="preserve">Enfermedades Poco Frecuentes</t>
  </si>
  <si>
    <t xml:space="preserve">GONZÁLEZ SANABRIA, JAVIER A</t>
  </si>
  <si>
    <t xml:space="preserve">Integrante / Colaborador</t>
  </si>
  <si>
    <t xml:space="preserve">IFIBIO</t>
  </si>
  <si>
    <t xml:space="preserve">Colaborador</t>
  </si>
  <si>
    <t xml:space="preserve">PRETELL ANNAN, CARLOS ALFREDO</t>
  </si>
  <si>
    <t xml:space="preserve">FISCHER SIGEL, LILIAN KARINA</t>
  </si>
  <si>
    <t xml:space="preserve">Colaboradora</t>
  </si>
  <si>
    <t xml:space="preserve">ILARRAZ, CONSTANZA</t>
  </si>
  <si>
    <t xml:space="preserve">BAGLIANI, MARÍA CAMILA</t>
  </si>
  <si>
    <t xml:space="preserve">DISTRIBUCIÓN DEL PERSONAL POR LABORATORIO / GRUPO DE INVESTIGACIÓN</t>
  </si>
  <si>
    <t xml:space="preserve">IFIBIO HOUSSAY - Mapeo Cruzado Memoria 2025 &amp; Web Oficial</t>
  </si>
  <si>
    <t xml:space="preserve">Laboratorio / Grupo de Investigación</t>
  </si>
  <si>
    <t xml:space="preserve">Cantidad de Integrantes Mapeados</t>
  </si>
  <si>
    <t xml:space="preserve">Servicios / Apoyo Técnico (CPA)</t>
  </si>
  <si>
    <t xml:space="preserve">TOTAL DE INTEGRANTES MAPEADOS</t>
  </si>
  <si>
    <t xml:space="preserve">Resumen actualizado de integrantes IFIBIO Houssay</t>
  </si>
  <si>
    <t xml:space="preserve">Fecha de verificación web: 2026-09-10. Los conteos se basan en la nómina depurada.</t>
  </si>
  <si>
    <t xml:space="preserve">Indicador</t>
  </si>
  <si>
    <t xml:space="preserve">Cantidad</t>
  </si>
  <si>
    <t xml:space="preserve">Laboratorio / grupo actual</t>
  </si>
  <si>
    <t xml:space="preserve">Integrantes</t>
  </si>
  <si>
    <t xml:space="preserve">Subgrupo / línea actual</t>
  </si>
  <si>
    <t xml:space="preserve">Filas originales</t>
  </si>
  <si>
    <t xml:space="preserve">Sin subgrupo publicado</t>
  </si>
  <si>
    <t xml:space="preserve">Personas únicas originales</t>
  </si>
  <si>
    <t xml:space="preserve">Personas consolidadas</t>
  </si>
  <si>
    <t xml:space="preserve">Actuales</t>
  </si>
  <si>
    <t xml:space="preserve">Exintegrantes</t>
  </si>
  <si>
    <t xml:space="preserve">Conflicto actual/exintegrante</t>
  </si>
  <si>
    <t xml:space="preserve">No encontrados en páginas actuales</t>
  </si>
  <si>
    <t xml:space="preserve">Hallazgos para revisión</t>
  </si>
  <si>
    <t xml:space="preserve">Laboratorio de Neuropsicología de la Performance</t>
  </si>
  <si>
    <t xml:space="preserve">Nómina única enriquecida — IFIBIO Houssay</t>
  </si>
  <si>
    <t xml:space="preserve">Cruce entre la planilla original y el sitio oficial. Verificado: 2026-09-10. Una fila por persona.</t>
  </si>
  <si>
    <t xml:space="preserve">Nombre normalizado</t>
  </si>
  <si>
    <t xml:space="preserve">Estado institucional</t>
  </si>
  <si>
    <t xml:space="preserve">Tipo actual/web</t>
  </si>
  <si>
    <t xml:space="preserve">Categoría publicada</t>
  </si>
  <si>
    <t xml:space="preserve">Laboratorio/grupo web</t>
  </si>
  <si>
    <t xml:space="preserve">Subgrupo/línea</t>
  </si>
  <si>
    <t xml:space="preserve">Responsable</t>
  </si>
  <si>
    <t xml:space="preserve">Área técnica CPA</t>
  </si>
  <si>
    <t xml:space="preserve">Descripción funcional</t>
  </si>
  <si>
    <t xml:space="preserve">Nombre en planilla original</t>
  </si>
  <si>
    <t xml:space="preserve">Sección original</t>
  </si>
  <si>
    <t xml:space="preserve">Rol original</t>
  </si>
  <si>
    <t xml:space="preserve">Pertenencia original</t>
  </si>
  <si>
    <t xml:space="preserve">Categoría original</t>
  </si>
  <si>
    <t xml:space="preserve">Laboratorio original</t>
  </si>
  <si>
    <t xml:space="preserve">Subgrupo original</t>
  </si>
  <si>
    <t xml:space="preserve">Perfil CONICET</t>
  </si>
  <si>
    <t xml:space="preserve">Página de grupo</t>
  </si>
  <si>
    <t xml:space="preserve">Fuente oficial</t>
  </si>
  <si>
    <t xml:space="preserve">Verificado</t>
  </si>
  <si>
    <t xml:space="preserve">Observaciones</t>
  </si>
  <si>
    <t xml:space="preserve">Agostina Presta</t>
  </si>
  <si>
    <t xml:space="preserve">Actual</t>
  </si>
  <si>
    <t xml:space="preserve">CPA</t>
  </si>
  <si>
    <t xml:space="preserve">Técnica Asistente - Conicet</t>
  </si>
  <si>
    <t xml:space="preserve">Histología</t>
  </si>
  <si>
    <t xml:space="preserve">https://www.conicet.gov.ar/new_scp/detalle.php?id=52445&amp;keywords=ver%C3%B3nica%2Bveronica%2BRisso&amp;datos_academicos=yes</t>
  </si>
  <si>
    <t xml:space="preserve">https://ifibio-uba.conicet.gov.ar/personal-del-instituto/cpa/</t>
  </si>
  <si>
    <t xml:space="preserve">2026-09-10</t>
  </si>
  <si>
    <t xml:space="preserve">Alba Richaudeau</t>
  </si>
  <si>
    <t xml:space="preserve">Investigador/a</t>
  </si>
  <si>
    <t xml:space="preserve">Investigadora UBA</t>
  </si>
  <si>
    <t xml:space="preserve">Los contenidos del CONICET están licenciados bajo Creative Commons Reconocimiento 2.5 Argentina License Ver Registro de Obsequios y Viajes de Funcionarios Ver verificador de recibos IFIBIO Houssay, (UBA-CONICET) Paraguay 2155, 7°piso, (CP: 1121), Ciudad de Buenos Aires, Argentina.</t>
  </si>
  <si>
    <t xml:space="preserve">https://ifibio-uba.conicet.gov.ar/labs/</t>
  </si>
  <si>
    <t xml:space="preserve">https://ifibio-uba.conicet.gov.ar/personal-del-instituto/investigadores/</t>
  </si>
  <si>
    <t xml:space="preserve">Laboratorio/grupo actual no coincide con la planilla original</t>
  </si>
  <si>
    <t xml:space="preserve">Alicia Damiano</t>
  </si>
  <si>
    <t xml:space="preserve">https://www.conicet.gov.ar/new_scp/detalle.php?id=34073&amp;keywords=giusto&amp;datos_academicos=yes</t>
  </si>
  <si>
    <t xml:space="preserve">https://ifibio-uba.conicet.gov.ar/labs/damiano/</t>
  </si>
  <si>
    <t xml:space="preserve">Alipio Pinto</t>
  </si>
  <si>
    <t xml:space="preserve">Investigador Asistente</t>
  </si>
  <si>
    <t xml:space="preserve">Jorge Goldstein</t>
  </si>
  <si>
    <t xml:space="preserve">https://www.conicet.gov.ar/new_scp/detalle.php?id=36799&amp;keywords=rela&amp;datos_academicos=yes</t>
  </si>
  <si>
    <t xml:space="preserve">https://ifibio-uba.conicet.gov.ar/labs/goldstein/</t>
  </si>
  <si>
    <t xml:space="preserve">Figura en el sitio oficial actual pero no en la planilla original</t>
  </si>
  <si>
    <t xml:space="preserve">Ana Celi Castillo</t>
  </si>
  <si>
    <t xml:space="preserve">Becario/a</t>
  </si>
  <si>
    <t xml:space="preserve">Becaria Doctoral - Conicet</t>
  </si>
  <si>
    <t xml:space="preserve">Valeria Rivarola</t>
  </si>
  <si>
    <t xml:space="preserve">https://ifibio-uba.conicet.gov.ar/personal-del-instituto/becarios/</t>
  </si>
  <si>
    <t xml:space="preserve">Analía López Díaz</t>
  </si>
  <si>
    <t xml:space="preserve">Técnica Asociada - Conicet</t>
  </si>
  <si>
    <t xml:space="preserve">Biología Molecular</t>
  </si>
  <si>
    <t xml:space="preserve">https://www.conicet.gov.ar/new_scp/detalle.php?keywords=agostina%2Bpresta&amp;id=61411&amp;datos_academicos=yes</t>
  </si>
  <si>
    <t xml:space="preserve">Andrés Varani</t>
  </si>
  <si>
    <t xml:space="preserve">Juan Belforte</t>
  </si>
  <si>
    <t xml:space="preserve">https://www.conicet.gov.ar/new_scp/detalle.php?id=27449&amp;keywords=zold&amp;datos_academicos=yes</t>
  </si>
  <si>
    <t xml:space="preserve">https://ifibio-uba.conicet.gov.ar/labs/belforte/</t>
  </si>
  <si>
    <t xml:space="preserve">Bárbara Giugovaz Tropper</t>
  </si>
  <si>
    <t xml:space="preserve">Profesional Adjunta - Conicet</t>
  </si>
  <si>
    <t xml:space="preserve">Electrofisiología</t>
  </si>
  <si>
    <t xml:space="preserve">https://www.conicet.gov.ar/new_scp/detalle.php?id=49675&amp;keywords=iacona&amp;datos_academicos=yes</t>
  </si>
  <si>
    <t xml:space="preserve">Camila Zold</t>
  </si>
  <si>
    <t xml:space="preserve">Investigadora Asistente</t>
  </si>
  <si>
    <t xml:space="preserve">https://ifibio-uba.conicet.gov.ar/labs/zold/</t>
  </si>
  <si>
    <t xml:space="preserve">Categoría posiblemente actualizada: planilla=ADJUNTO; web=ASISTENTE</t>
  </si>
  <si>
    <t xml:space="preserve">Candela Fagnani</t>
  </si>
  <si>
    <t xml:space="preserve">Becaria de Maestría en Biologia Molecular Medica</t>
  </si>
  <si>
    <t xml:space="preserve">https://www.conicet.gov.ar/new_scp/detalle.php?id=66372&amp;keywords=nazarena%2Bfernandez&amp;datos_academicos=yes</t>
  </si>
  <si>
    <t xml:space="preserve">Carlos Petrell Annan</t>
  </si>
  <si>
    <t xml:space="preserve">Becario Doctoral - Conicet</t>
  </si>
  <si>
    <t xml:space="preserve">Cecilia Tubert</t>
  </si>
  <si>
    <t xml:space="preserve">Investigadora Asistente - Conicet</t>
  </si>
  <si>
    <t xml:space="preserve">Gustavo Murer</t>
  </si>
  <si>
    <t xml:space="preserve">https://www.conicet.gov.ar/new_scp/detalle.php?id=62170&amp;keywords=valdivia%2Btorres&amp;datos_academicos=yes</t>
  </si>
  <si>
    <t xml:space="preserve">https://ifibio-uba.conicet.gov.ar/labs/murer/</t>
  </si>
  <si>
    <t xml:space="preserve">Claudia Capurro</t>
  </si>
  <si>
    <t xml:space="preserve">https://www.conicet.gov.ar/new_scp/detalle.php?id=21511&amp;keywords=damiano&amp;datos_academicos=yes</t>
  </si>
  <si>
    <t xml:space="preserve">https://ifibio-uba.conicet.gov.ar/labs/biomembranas/</t>
  </si>
  <si>
    <t xml:space="preserve">Claudia Silberstein</t>
  </si>
  <si>
    <t xml:space="preserve">https://www.conicet.gov.ar/new_scp/detalle.php?id=31242&amp;keywords=toriano&amp;datos_academicos=yes</t>
  </si>
  <si>
    <t xml:space="preserve">https://ifibio-uba.conicet.gov.ar/labs/silberstein/</t>
  </si>
  <si>
    <t xml:space="preserve">Cristina Ibarra</t>
  </si>
  <si>
    <t xml:space="preserve">Investigadora Principal Ad-Honorem</t>
  </si>
  <si>
    <t xml:space="preserve">https://ifibio-uba.conicet.gov.ar/labs/ibarra/</t>
  </si>
  <si>
    <t xml:space="preserve">Daiana Gioia</t>
  </si>
  <si>
    <t xml:space="preserve">Becaria Doctoral - Foncyt</t>
  </si>
  <si>
    <t xml:space="preserve">https://www.conicet.gov.ar/new_scp/detalle.php?id=63028&amp;keywords=giron%2Breyes&amp;datos_academicos=yes</t>
  </si>
  <si>
    <t xml:space="preserve">Daniel Giron Reyes</t>
  </si>
  <si>
    <t xml:space="preserve">https://www.conicet.gov.ar/new_scp/detalle.php?id=56048&amp;keywords=fernando%2Bgomez&amp;datos_academicos=yes</t>
  </si>
  <si>
    <t xml:space="preserve">Diego Pafundo</t>
  </si>
  <si>
    <t xml:space="preserve">https://www.conicet.gov.ar/new_scp/detalle.php?id=37105&amp;keywords=rafael%2Bpagani&amp;datos_academicos=yes</t>
  </si>
  <si>
    <t xml:space="preserve">https://ifibio-uba.conicet.gov.ar/labs/pafundo/</t>
  </si>
  <si>
    <t xml:space="preserve">Elsa Zotta</t>
  </si>
  <si>
    <t xml:space="preserve">Esteban Valverde</t>
  </si>
  <si>
    <t xml:space="preserve">Profesional Adjunto - Conicet</t>
  </si>
  <si>
    <t xml:space="preserve">Ingeniero Electrónico</t>
  </si>
  <si>
    <t xml:space="preserve">Estefanía Bello</t>
  </si>
  <si>
    <t xml:space="preserve">https://www.conicet.gov.ar/new_scp/detalle.php?id=21187&amp;keywords=bernabeu%2Bramon&amp;datos_academicos=yes</t>
  </si>
  <si>
    <t xml:space="preserve">Federico Ochoa</t>
  </si>
  <si>
    <t xml:space="preserve">Investigador UBA</t>
  </si>
  <si>
    <t xml:space="preserve">https://www.conicet.gov.ar/new_scp/detalle.php?id=48131&amp;keywords=pafundo&amp;datos_academicos=yes</t>
  </si>
  <si>
    <t xml:space="preserve">Fernando Gómez</t>
  </si>
  <si>
    <t xml:space="preserve">https://www.conicet.gov.ar/new_scp/detalle.php?id=65981&amp;keywords=Gomez%2Bacosta&amp;datos_academicos=yes</t>
  </si>
  <si>
    <t xml:space="preserve">Fernando Ibarra</t>
  </si>
  <si>
    <t xml:space="preserve">https://www.conicet.gov.ar/new_scp/detalle.php?id=52825&amp;keywords=kasanetz&amp;datos_academicos=yes</t>
  </si>
  <si>
    <t xml:space="preserve">Fernando Kasanetz</t>
  </si>
  <si>
    <t xml:space="preserve">Consejo Directivo; Investigadores CONICET</t>
  </si>
  <si>
    <t xml:space="preserve">Representante Investigador; Investigador</t>
  </si>
  <si>
    <t xml:space="preserve">https://www.conicet.gov.ar/new_scp/detalle.php?id=28952&amp;keywords=maximiliano%2Bkatz&amp;datos_academicos=yes</t>
  </si>
  <si>
    <t xml:space="preserve">https://ifibio-uba.conicet.gov.ar/labs/kasanetz/</t>
  </si>
  <si>
    <t xml:space="preserve">Duplicado en la planilla original (2 filas)</t>
  </si>
  <si>
    <t xml:space="preserve">Flavia Sacerdoti</t>
  </si>
  <si>
    <t xml:space="preserve">Investigadora Adjunta</t>
  </si>
  <si>
    <t xml:space="preserve">Florencia Vassallu</t>
  </si>
  <si>
    <t xml:space="preserve">Lionel Muller Igaz</t>
  </si>
  <si>
    <t xml:space="preserve">Germán La Iacona</t>
  </si>
  <si>
    <t xml:space="preserve">Técnico Principal - Conicet</t>
  </si>
  <si>
    <t xml:space="preserve">Microscopía</t>
  </si>
  <si>
    <t xml:space="preserve">https://www.conicet.gov.ar/new_scp/detalle.php?id=50543&amp;keywords=lopez%2Bdiaz%2Banalia&amp;datos_academicos=yes</t>
  </si>
  <si>
    <t xml:space="preserve">Gisela Di Giusto</t>
  </si>
  <si>
    <t xml:space="preserve">https://www.conicet.gov.ar/new_scp/detalle.php?id=20210&amp;keywords=paula%2Bfaillace&amp;datos_academicos=yes</t>
  </si>
  <si>
    <t xml:space="preserve">Investigador Superior</t>
  </si>
  <si>
    <t xml:space="preserve">Director / Vicedirector; Investigadores CONICET</t>
  </si>
  <si>
    <t xml:space="preserve">Director; Investigador</t>
  </si>
  <si>
    <t xml:space="preserve">https://www.conicet.gov.ar/new_scp/detalle.php?id=33035&amp;keywords=vanina%2Bnetti&amp;datos_academicos=yes</t>
  </si>
  <si>
    <t xml:space="preserve">Iván Álvarez Mendoza</t>
  </si>
  <si>
    <t xml:space="preserve">Becario Doctoral - Foncyt</t>
  </si>
  <si>
    <t xml:space="preserve">Rafael Pagani</t>
  </si>
  <si>
    <t xml:space="preserve">https://www.conicet.gov.ar/new_scp/detalle.php?id=60535&amp;keywords=celi%2Bcastillo&amp;datos_academicos=yes</t>
  </si>
  <si>
    <t xml:space="preserve">Javier Fotti</t>
  </si>
  <si>
    <t xml:space="preserve">Lorena Rela</t>
  </si>
  <si>
    <t xml:space="preserve">Becarios CONICET; Personal No CONICET</t>
  </si>
  <si>
    <t xml:space="preserve">CONICET; NO CONICET</t>
  </si>
  <si>
    <t xml:space="preserve">INTERNA DE FIN DE DOCTORADO; Becario</t>
  </si>
  <si>
    <t xml:space="preserve">Formación de Redes Neurales / Olfato; Formación de Redes Neurales</t>
  </si>
  <si>
    <t xml:space="preserve">https://www.conicet.gov.ar/new_scp/detalle.php?id=57143&amp;keywords=fulginiti&amp;datos_academicos=yes</t>
  </si>
  <si>
    <t xml:space="preserve">Investigador Independiente</t>
  </si>
  <si>
    <t xml:space="preserve">https://www.conicet.gov.ar/new_scp/detalle.php?id=36593&amp;keywords=cristina%2Bibarra&amp;datos_academicos=yes</t>
  </si>
  <si>
    <t xml:space="preserve">Investigador Independiente - Conicet</t>
  </si>
  <si>
    <t xml:space="preserve">Vicedirector; Investigador</t>
  </si>
  <si>
    <t xml:space="preserve">https://www.conicet.gov.ar/new_scp/detalle.php?id=37250&amp;keywords=bello%2Bestefania&amp;datos_academicos=yes</t>
  </si>
  <si>
    <t xml:space="preserve">Juan Casal</t>
  </si>
  <si>
    <t xml:space="preserve">Profesional Asistente - Conicet</t>
  </si>
  <si>
    <t xml:space="preserve">Bioinformática</t>
  </si>
  <si>
    <t xml:space="preserve">https://www.conicet.gov.ar/new_scp/detalle.php?id=64599&amp;keywords=lucia%2Bgarbini&amp;datos_academicos=yes</t>
  </si>
  <si>
    <t xml:space="preserve">Juan Sterba</t>
  </si>
  <si>
    <t xml:space="preserve">Becario de Grado - UBA</t>
  </si>
  <si>
    <t xml:space="preserve">https://www.conicet.gov.ar/new_scp/detalle.php?id=62334&amp;keywords=trujillo&amp;datos_academicos=yes</t>
  </si>
  <si>
    <t xml:space="preserve">Leandro Rocco</t>
  </si>
  <si>
    <t xml:space="preserve">Auxiliar docente</t>
  </si>
  <si>
    <t xml:space="preserve">https://www.conicet.gov.ar/new_scp/detalle.php?id=65041&amp;keywords=sierra%2Bmat%C3%ADas%2Bmatias&amp;datos_academicos=yes</t>
  </si>
  <si>
    <t xml:space="preserve">Leslie Spring Valdivia Torres</t>
  </si>
  <si>
    <t xml:space="preserve">https://www.conicet.gov.ar/new_scp/detalle.php?id=60578&amp;keywords=andres%2Bvarani&amp;datos_academicos=yes</t>
  </si>
  <si>
    <t xml:space="preserve">https://www.conicet.gov.ar/new_scp/detalle.php?id=22280&amp;keywords=murer&amp;datos_academicos=yes</t>
  </si>
  <si>
    <t xml:space="preserve">https://ifibio-uba.conicet.gov.ar/labs/igaz/</t>
  </si>
  <si>
    <t xml:space="preserve">Investigadora Independiente</t>
  </si>
  <si>
    <t xml:space="preserve">https://www.conicet.gov.ar/new_scp/detalle.php?id=20821&amp;keywords=valeria%2Brivarola&amp;datos_academicos=yes</t>
  </si>
  <si>
    <t xml:space="preserve">https://ifibio-uba.conicet.gov.ar/labs/rela/</t>
  </si>
  <si>
    <t xml:space="preserve">Lucía Garbini</t>
  </si>
  <si>
    <t xml:space="preserve">Bioterista</t>
  </si>
  <si>
    <t xml:space="preserve">https://www.conicet.gov.ar/new_scp/detalle.php?id=52433&amp;keywords=b%C3%A1rbara%2Bbarbara%2Bgiugovaz&amp;datos_academicos=yes</t>
  </si>
  <si>
    <t xml:space="preserve">María Jesús Trujillo</t>
  </si>
  <si>
    <t xml:space="preserve">María Luján Costanzo</t>
  </si>
  <si>
    <t xml:space="preserve">Gestión/administración</t>
  </si>
  <si>
    <t xml:space="preserve">Secretaría IFIBIO Houssay</t>
  </si>
  <si>
    <t xml:space="preserve">María Marta Amaral</t>
  </si>
  <si>
    <t xml:space="preserve">Investigadora Adjunta - Conicet</t>
  </si>
  <si>
    <t xml:space="preserve">https://www.conicet.gov.ar/new_scp/detalle.php?id=29783&amp;keywords=belforte&amp;datos_academicos=yes</t>
  </si>
  <si>
    <t xml:space="preserve">Mariano Blake</t>
  </si>
  <si>
    <t xml:space="preserve">Investigador Adjunto - Conicet</t>
  </si>
  <si>
    <t xml:space="preserve">https://www.conicet.gov.ar/new_scp/detalle.php?id=29676&amp;keywords=capurro%2Bclaudia&amp;datos_academicos=yes</t>
  </si>
  <si>
    <t xml:space="preserve">https://ifibio-uba.conicet.gov.ar/labs/blake/</t>
  </si>
  <si>
    <t xml:space="preserve">Martina Gómez Acosta</t>
  </si>
  <si>
    <t xml:space="preserve">Matías Sierra</t>
  </si>
  <si>
    <t xml:space="preserve">Maximiliano Katz</t>
  </si>
  <si>
    <t xml:space="preserve">https://www.conicet.gov.ar/new_scp/detalle.php?id=26074&amp;keywords=nora%2Bmartinez&amp;datos_academicos=yes</t>
  </si>
  <si>
    <t xml:space="preserve">https://ifibio-uba.conicet.gov.ar/labs/katz/</t>
  </si>
  <si>
    <t xml:space="preserve">Natalia Beltramone</t>
  </si>
  <si>
    <t xml:space="preserve">Técnica Principal - Conicet</t>
  </si>
  <si>
    <t xml:space="preserve">Cultivos Celulares</t>
  </si>
  <si>
    <t xml:space="preserve">Consejo Directivo; Personal de Apoyo CONICET</t>
  </si>
  <si>
    <t xml:space="preserve">Representante Personal de Apoyo; Personal de Apoyo</t>
  </si>
  <si>
    <t xml:space="preserve">Personal de Apoyo (CPA); Servicios / Apoyo Técnico</t>
  </si>
  <si>
    <t xml:space="preserve">https://www.conicet.gov.ar/new_scp/detalle.php?id=40970&amp;keywords=Juan%2BCasal&amp;datos_academicos=yes</t>
  </si>
  <si>
    <t xml:space="preserve">Nazarena Fernandez</t>
  </si>
  <si>
    <t xml:space="preserve">Nicolás Fulginiti</t>
  </si>
  <si>
    <t xml:space="preserve">Becario Doctoral</t>
  </si>
  <si>
    <t xml:space="preserve">Nora Martinez</t>
  </si>
  <si>
    <t xml:space="preserve">https://www.conicet.gov.ar/new_scp/detalle.php?id=37567&amp;keywords=igaz&amp;datos_academicos=yes</t>
  </si>
  <si>
    <t xml:space="preserve">Laboratorio/grupo actual no coincide con la planilla original; El texto de pertenencia publicado no coincide con la página de grupo enlazada; Se corrigió el error tipográfico 'Bimembranas/Biommbranas' del sitio</t>
  </si>
  <si>
    <t xml:space="preserve">Paula Faillace</t>
  </si>
  <si>
    <t xml:space="preserve">María Paula Faillace</t>
  </si>
  <si>
    <t xml:space="preserve">https://www.conicet.gov.ar/new_scp/detalle.php?id=20580&amp;keywords=jorge%2Bgoldstein&amp;datos_academicos=yes</t>
  </si>
  <si>
    <t xml:space="preserve">https://ifibio-uba.conicet.gov.ar/labs/faillace/</t>
  </si>
  <si>
    <t xml:space="preserve">Pilar Jove</t>
  </si>
  <si>
    <t xml:space="preserve">Becaria de Grado - UBA</t>
  </si>
  <si>
    <t xml:space="preserve">https://www.conicet.gov.ar/new_scp/detalle.php?id=64912&amp;keywords=alipio%2Bpinto&amp;datos_academicos=yes</t>
  </si>
  <si>
    <t xml:space="preserve">https://ifibio-uba.conicet.gov.ar/labs/pagani/</t>
  </si>
  <si>
    <t xml:space="preserve">Ramón Bernabeu</t>
  </si>
  <si>
    <t xml:space="preserve">Investigado Independiente - Conicet</t>
  </si>
  <si>
    <t xml:space="preserve">https://www.conicet.gov.ar/new_scp/detalle.php?id=32737&amp;keywords=mariano%2Bblake&amp;datos_academicos=yes</t>
  </si>
  <si>
    <t xml:space="preserve">https://ifibio-uba.conicet.gov.ar/labs/bernabeu/</t>
  </si>
  <si>
    <t xml:space="preserve">Categoría posiblemente actualizada: planilla=PRINCIPAL; web=INDEPENDIENTE</t>
  </si>
  <si>
    <t xml:space="preserve">Roxana Toriano</t>
  </si>
  <si>
    <t xml:space="preserve">https://www.conicet.gov.ar/new_scp/detalle.php?id=43530&amp;keywords=tubert&amp;datos_academicos=yes</t>
  </si>
  <si>
    <t xml:space="preserve">Se corrigió el error tipográfico 'Bimembranas/Biommbranas' del sitio</t>
  </si>
  <si>
    <t xml:space="preserve">Tomás Molina Ponce</t>
  </si>
  <si>
    <t xml:space="preserve">Valeria Casazza</t>
  </si>
  <si>
    <t xml:space="preserve">https://www.conicet.gov.ar/new_scp/detalle.php?id=43459&amp;keywords=flavia%2Bsacerdoti&amp;datos_academicos=yes</t>
  </si>
  <si>
    <t xml:space="preserve">Vanina Netti</t>
  </si>
  <si>
    <t xml:space="preserve">Verónica Risso</t>
  </si>
  <si>
    <t xml:space="preserve">https://www.conicet.gov.ar/new_scp/detalle.php?id=56984&amp;keywords=valverde%2Besteban&amp;datos_academicos=yes</t>
  </si>
  <si>
    <t xml:space="preserve">Lisandro Díaz Devicenzi</t>
  </si>
  <si>
    <t xml:space="preserve">Conflicto: actual y exintegrante</t>
  </si>
  <si>
    <t xml:space="preserve">https://ifibio-uba.conicet.gov.ar/personal-del-instituto/becarios/; https://ifibio-uba.conicet.gov.ar/personal-del-instituto/ex-integrantes/</t>
  </si>
  <si>
    <t xml:space="preserve">La misma persona figura en una página actual y en Exintegrantes; Figura en el sitio oficial actual pero no en la planilla original</t>
  </si>
  <si>
    <t xml:space="preserve">Nicolás Cristi</t>
  </si>
  <si>
    <t xml:space="preserve">Agostina Stahl</t>
  </si>
  <si>
    <t xml:space="preserve">Exintegrante</t>
  </si>
  <si>
    <t xml:space="preserve">Becaria Doctoral</t>
  </si>
  <si>
    <t xml:space="preserve">https://ifibio-uba.conicet.gov.ar/personal-del-instituto/ex-integrantes/</t>
  </si>
  <si>
    <t xml:space="preserve">Agustín Solano</t>
  </si>
  <si>
    <t xml:space="preserve">Becario Post-doctoral</t>
  </si>
  <si>
    <t xml:space="preserve">Álvaro Deleglise</t>
  </si>
  <si>
    <t xml:space="preserve">Camila Coll</t>
  </si>
  <si>
    <t xml:space="preserve">Cecilia Martinez</t>
  </si>
  <si>
    <t xml:space="preserve">Constanza Ilarraz</t>
  </si>
  <si>
    <t xml:space="preserve">Daiana Sanchez</t>
  </si>
  <si>
    <t xml:space="preserve">Félix Fares Taie</t>
  </si>
  <si>
    <t xml:space="preserve">Gabriela Nieva</t>
  </si>
  <si>
    <t xml:space="preserve">Guillermina Griffa</t>
  </si>
  <si>
    <t xml:space="preserve">Javier González Sanabria</t>
  </si>
  <si>
    <t xml:space="preserve">Joaquín Ortiz</t>
  </si>
  <si>
    <t xml:space="preserve">Juan Martín Uehara</t>
  </si>
  <si>
    <t xml:space="preserve">Julieta Reppetti</t>
  </si>
  <si>
    <t xml:space="preserve">Lilian Fischer Sigel</t>
  </si>
  <si>
    <t xml:space="preserve">Luis Riquelme</t>
  </si>
  <si>
    <t xml:space="preserve">Marcos Coletti</t>
  </si>
  <si>
    <t xml:space="preserve">María Florencia Santos</t>
  </si>
  <si>
    <t xml:space="preserve">Mariano Belluscio</t>
  </si>
  <si>
    <t xml:space="preserve">Categoría posiblemente actualizada: planilla=ADJUNTO; web=INDEPENDIENTE</t>
  </si>
  <si>
    <t xml:space="preserve">Natalia Szpilbarg</t>
  </si>
  <si>
    <t xml:space="preserve">Nicolás Cutrera</t>
  </si>
  <si>
    <t xml:space="preserve">Paula Ford</t>
  </si>
  <si>
    <t xml:space="preserve">https://www.conicet.gov.ar/new_scp/detalle.php?id=23716&amp;keywords=cecilia%2Bmartinez&amp;datos_academicos=yes</t>
  </si>
  <si>
    <t xml:space="preserve">Santiago Merlo</t>
  </si>
  <si>
    <t xml:space="preserve">Valeria Della Maggiore</t>
  </si>
  <si>
    <t xml:space="preserve">https://www.conicet.gov.ar/new_scp/detalle.php?id=20080&amp;keywords=paula%2Bford&amp;datos_academicos=yes</t>
  </si>
  <si>
    <t xml:space="preserve">Viviana Bumaschny</t>
  </si>
  <si>
    <t xml:space="preserve">https://www.conicet.gov.ar/new_scp/detalle.php?id=26306&amp;keywords=della%2Bmaggiore&amp;datos_academicos=yes</t>
  </si>
  <si>
    <t xml:space="preserve">Ana Elizabeth Mamani</t>
  </si>
  <si>
    <t xml:space="preserve">No encontrado en páginas actuales</t>
  </si>
  <si>
    <t xml:space="preserve">Presente en la planilla original pero no localizado en las páginas actuales relevadas</t>
  </si>
  <si>
    <t xml:space="preserve">Camila María Polotto</t>
  </si>
  <si>
    <t xml:space="preserve">Kianny Miroslava Sanchez Armijos</t>
  </si>
  <si>
    <t xml:space="preserve">Luis Lazaro</t>
  </si>
  <si>
    <t xml:space="preserve">María Camila Bagliani</t>
  </si>
  <si>
    <t xml:space="preserve">Mauricio Norman Montenegro</t>
  </si>
  <si>
    <t xml:space="preserve">Wanderson Marques Da Silva</t>
  </si>
  <si>
    <t xml:space="preserve">William Jordi Cedeño Viteri</t>
  </si>
  <si>
    <t xml:space="preserve">Exintegrantes y conflictos de estado</t>
  </si>
  <si>
    <t xml:space="preserve">Nombre</t>
  </si>
  <si>
    <t xml:space="preserve">Estado</t>
  </si>
  <si>
    <t xml:space="preserve">Último laboratorio/grupo publicado</t>
  </si>
  <si>
    <t xml:space="preserve">Discrepancias y revisiones pendientes</t>
  </si>
  <si>
    <t xml:space="preserve">Cada fila representa un problema independiente. No implica necesariamente un error: algunas diferencias pueden corresponder a promociones o actualizaciones recientes.</t>
  </si>
  <si>
    <t xml:space="preserve">Hallazgo</t>
  </si>
  <si>
    <t xml:space="preserve">Fuente</t>
  </si>
  <si>
    <t xml:space="preserve">Acción sugerida</t>
  </si>
  <si>
    <t xml:space="preserve">Agregar/validar alta</t>
  </si>
  <si>
    <t xml:space="preserve">Verificar pertenencia con el responsable</t>
  </si>
  <si>
    <t xml:space="preserve">Confirmar continuidad o baja</t>
  </si>
  <si>
    <t xml:space="preserve">Confirmar categoría vigente</t>
  </si>
  <si>
    <t xml:space="preserve">Revisión administrativa</t>
  </si>
  <si>
    <t xml:space="preserve">La misma persona figura en una página actual y en Exintegrantes</t>
  </si>
  <si>
    <t xml:space="preserve">Confirmar estado institucional</t>
  </si>
  <si>
    <t xml:space="preserve">El texto de pertenencia publicado no coincide con la página de grupo enlazada</t>
  </si>
  <si>
    <t xml:space="preserve">Fuentes, criterios y limitaciones</t>
  </si>
  <si>
    <t xml:space="preserve">Sección oficial</t>
  </si>
  <si>
    <t xml:space="preserve">URL</t>
  </si>
  <si>
    <t xml:space="preserve">Uso en el cruce</t>
  </si>
  <si>
    <t xml:space="preserve">Fecha de consulta</t>
  </si>
  <si>
    <t xml:space="preserve">Laboratorios y grupos</t>
  </si>
  <si>
    <t xml:space="preserve">Estructura institucional, subgrupos y responsables</t>
  </si>
  <si>
    <t xml:space="preserve">Investigadores</t>
  </si>
  <si>
    <t xml:space="preserve">Nómina, categoría y pertenencia actual</t>
  </si>
  <si>
    <t xml:space="preserve">Nómina CPA, categoría, área y descripción funcional</t>
  </si>
  <si>
    <t xml:space="preserve">Becarios</t>
  </si>
  <si>
    <t xml:space="preserve">Nómina, tipo de beca y grupo actual</t>
  </si>
  <si>
    <t xml:space="preserve">Detección de bajas y pertenencia previa</t>
  </si>
  <si>
    <t xml:space="preserve">Criterio</t>
  </si>
  <si>
    <t xml:space="preserve">Descripción</t>
  </si>
  <si>
    <t xml:space="preserve">Prioridad</t>
  </si>
  <si>
    <t xml:space="preserve">Para el estado actual se priorizaron las páginas de Investigadores, Personal de Apoyo y Becarios. La página Exintegrantes determina las bajas publicadas.</t>
  </si>
  <si>
    <t xml:space="preserve">Conflictos</t>
  </si>
  <si>
    <t xml:space="preserve">Si una persona figura simultáneamente en una página actual y en Exintegrantes, se conserva como conflicto sin decidir automáticamente.</t>
  </si>
  <si>
    <t xml:space="preserve">Normalización</t>
  </si>
  <si>
    <t xml:space="preserve">Se corrigieron únicamente variantes obvias de escritura y errores tipográficos de los rótulos, conservando el texto original en columnas separadas.</t>
  </si>
  <si>
    <t xml:space="preserve">Subgrupos</t>
  </si>
  <si>
    <t xml:space="preserve">Se tomó el subgrupo explícito del sitio o la página de grupo enlazada. Si el sitio no lo especifica, se conservó la asignación original y se marcó cuando corresponde.</t>
  </si>
  <si>
    <t xml:space="preserve">Cobertura</t>
  </si>
  <si>
    <t xml:space="preserve">El archivo refleja lo publicado en el sitio oficial en la fecha indicada; una ausencia web no demuestra por sí sola una baja institucional.</t>
  </si>
  <si>
    <t xml:space="preserve">Sector</t>
  </si>
  <si>
    <t xml:space="preserve">ID de unidad</t>
  </si>
  <si>
    <t xml:space="preserve">Unidad</t>
  </si>
  <si>
    <t xml:space="preserve">Tipo de unidad</t>
  </si>
  <si>
    <t xml:space="preserve">Rol / categoría</t>
  </si>
  <si>
    <t xml:space="preserve">Subgrupo / línea</t>
  </si>
  <si>
    <t xml:space="preserve">Área técnica</t>
  </si>
  <si>
    <t xml:space="preserve">Página oficial de la unidad</t>
  </si>
  <si>
    <t xml:space="preserve">Fecha de verificación</t>
  </si>
  <si>
    <t xml:space="preserve">Gestión institucional</t>
  </si>
  <si>
    <t xml:space="preserve">gestion-y-administracion</t>
  </si>
  <si>
    <t xml:space="preserve">Sector institucional</t>
  </si>
  <si>
    <t xml:space="preserve">Grupos de investigación</t>
  </si>
  <si>
    <t xml:space="preserve">grupo-de-neurociencia-de-sistemas</t>
  </si>
  <si>
    <t xml:space="preserve">Grupo de investigación</t>
  </si>
  <si>
    <t xml:space="preserve">https://ifibio-uba.conicet.gov.ar/labs/gns/</t>
  </si>
  <si>
    <t xml:space="preserve">grupo-de-pez-cebra</t>
  </si>
  <si>
    <t xml:space="preserve">https://ifibio-uba.conicet.gov.ar/labs/pez-cebra/</t>
  </si>
  <si>
    <t xml:space="preserve">Laboratorios</t>
  </si>
  <si>
    <t xml:space="preserve">laboratorio-de-biologia-de-la-reproduccion</t>
  </si>
  <si>
    <t xml:space="preserve">Laboratorio</t>
  </si>
  <si>
    <t xml:space="preserve">laboratorio-de-biomembranas</t>
  </si>
  <si>
    <t xml:space="preserve">laboratorio-de-fisiologia-renal</t>
  </si>
  <si>
    <t xml:space="preserve">laboratorio-de-fisiopatogenia</t>
  </si>
  <si>
    <t xml:space="preserve">laboratorio-de-neurofisiopatologia</t>
  </si>
  <si>
    <t xml:space="preserve">laboratorio-de-neuropsicologia-de-la-performance</t>
  </si>
  <si>
    <t xml:space="preserve">servicios-apoyo-tecnico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</si>
</sst>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b val="true"/>
      <sz val="14"/>
      <color rgb="FF1F497D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497D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theme="1"/>
      <name val="Arial"/>
      <family val="0"/>
      <charset val="1"/>
    </font>
    <font>
      <sz val="10"/>
      <color rgb="FF1F2937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97D"/>
        <bgColor rgb="FF1E4E79"/>
      </patternFill>
    </fill>
    <fill>
      <patternFill patternType="solid">
        <fgColor rgb="FFFFFFFF"/>
        <bgColor rgb="FFF2F5F9"/>
      </patternFill>
    </fill>
    <fill>
      <patternFill patternType="solid">
        <fgColor rgb="FFF2F5F9"/>
        <bgColor rgb="FFF1F5F9"/>
      </patternFill>
    </fill>
    <fill>
      <patternFill patternType="solid">
        <fgColor rgb="FFD9E1F2"/>
        <bgColor rgb="FFD9E2F3"/>
      </patternFill>
    </fill>
    <fill>
      <patternFill patternType="solid">
        <fgColor rgb="FF17365D"/>
        <bgColor rgb="FF1F2937"/>
      </patternFill>
    </fill>
    <fill>
      <patternFill patternType="solid">
        <fgColor rgb="FF1F4E78"/>
        <bgColor rgb="FF1E4E79"/>
      </patternFill>
    </fill>
    <fill>
      <patternFill patternType="solid">
        <fgColor rgb="FF1E4E79"/>
        <bgColor rgb="FF1F4E78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 diagonalUp="false" diagonalDown="false"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 diagonalUp="false" diagonalDown="false">
      <left/>
      <right style="thin">
        <color rgb="FFFFFFFF"/>
      </right>
      <top/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 style="thin">
        <color rgb="FFFFFFFF"/>
      </left>
      <right/>
      <top/>
      <bottom/>
      <diagonal/>
    </border>
    <border diagonalUp="false" diagonalDown="false">
      <left/>
      <right/>
      <top/>
      <bottom style="thin">
        <color rgb="FFE2E8F0"/>
      </bottom>
      <diagonal/>
    </border>
    <border diagonalUp="false" diagonalDown="false">
      <left/>
      <right/>
      <top style="thin">
        <color rgb="FFE2E8F0"/>
      </top>
      <bottom style="thin">
        <color rgb="FFE2E8F0"/>
      </bottom>
      <diagonal/>
    </border>
    <border diagonalUp="false" diagonalDown="false">
      <left/>
      <right/>
      <top style="thin">
        <color rgb="FFE2E8F0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3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8" borderId="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5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6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5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5" fillId="0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9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5" fillId="0" borderId="9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9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>
          <bgColor rgb="FFE2F0D9"/>
        </patternFill>
      </fill>
    </dxf>
    <dxf>
      <fill>
        <patternFill>
          <bgColor rgb="FFE7E6E6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 patternType="solid">
          <fgColor rgb="FF1E4E79"/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F1F5F9"/>
          <bgColor rgb="FF000000"/>
        </patternFill>
      </fill>
    </dxf>
    <dxf>
      <fill>
        <patternFill patternType="solid">
          <fgColor rgb="FF166534"/>
          <bgColor rgb="FF000000"/>
        </patternFill>
      </fill>
    </dxf>
    <dxf>
      <fill>
        <patternFill patternType="solid">
          <fgColor rgb="FF64748B"/>
          <bgColor rgb="FF000000"/>
        </patternFill>
      </fill>
    </dxf>
    <dxf>
      <font>
        <b val="1"/>
        <color rgb="FF166534"/>
      </font>
      <fill>
        <patternFill>
          <bgColor rgb="FFDCFCE7"/>
        </patternFill>
      </fill>
    </dxf>
    <dxf>
      <font>
        <color rgb="FF64748B"/>
      </font>
      <fill>
        <patternFill>
          <bgColor rgb="FFF1F5F9"/>
        </patternFill>
      </fill>
    </dxf>
    <dxf>
      <font>
        <b val="1"/>
        <color rgb="FF92400E"/>
      </font>
      <fill>
        <patternFill>
          <bgColor rgb="FFFEF3C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5F9"/>
      <rgbColor rgb="FFFF00FF"/>
      <rgbColor rgb="FF00FFFF"/>
      <rgbColor rgb="FF800000"/>
      <rgbColor rgb="FF166534"/>
      <rgbColor rgb="FF000080"/>
      <rgbColor rgb="FF808000"/>
      <rgbColor rgb="FF800080"/>
      <rgbColor rgb="FF1F4E78"/>
      <rgbColor rgb="FFB4C6E7"/>
      <rgbColor rgb="FF7F7F7F"/>
      <rgbColor rgb="FFE2E8F0"/>
      <rgbColor rgb="FF595959"/>
      <rgbColor rgb="FFFEF3C7"/>
      <rgbColor rgb="FFDCFCE7"/>
      <rgbColor rgb="FF660066"/>
      <rgbColor rgb="FFFF8080"/>
      <rgbColor rgb="FF1E4E79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E2F0D9"/>
      <rgbColor rgb="FFFFF2CC"/>
      <rgbColor rgb="FFD9E1F2"/>
      <rgbColor rgb="FFE7E6E6"/>
      <rgbColor rgb="FFD9E2F3"/>
      <rgbColor rgb="FFFCE4D6"/>
      <rgbColor rgb="FF3366FF"/>
      <rgbColor rgb="FF33CCCC"/>
      <rgbColor rgb="FF99CC00"/>
      <rgbColor rgb="FFFFCC00"/>
      <rgbColor rgb="FFFF9900"/>
      <rgbColor rgb="FFC65911"/>
      <rgbColor rgb="FF64748B"/>
      <rgbColor rgb="FFA5A5A5"/>
      <rgbColor rgb="FF17365D"/>
      <rgbColor rgb="FF70AD47"/>
      <rgbColor rgb="FF003300"/>
      <rgbColor rgb="FF333300"/>
      <rgbColor rgb="FF92400E"/>
      <rgbColor rgb="FF993366"/>
      <rgbColor rgb="FF1F497D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DatosOrganigrama" displayName="DatosOrganigrama" ref="A1:M90" headerRowCount="1" totalsRowCount="0" totalsRowShown="0">
  <autoFilter ref="A1:M90"/>
  <tableColumns count="13">
    <tableColumn id="1" name="Sector"/>
    <tableColumn id="2" name="ID de unidad"/>
    <tableColumn id="3" name="Unidad"/>
    <tableColumn id="4" name="Tipo de unidad"/>
    <tableColumn id="5" name="Responsable"/>
    <tableColumn id="6" name="Nombre"/>
    <tableColumn id="7" name="Estado"/>
    <tableColumn id="8" name="Rol / categoría"/>
    <tableColumn id="9" name="Subgrupo / línea"/>
    <tableColumn id="10" name="Área técnica"/>
    <tableColumn id="11" name="Observaciones"/>
    <tableColumn id="12" name="Página oficial de la unidad"/>
    <tableColumn id="13" name="Fecha de verificación"/>
  </tableColumns>
</table>
</file>

<file path=xl/tables/table2.xml><?xml version="1.0" encoding="utf-8"?>
<table xmlns="http://schemas.openxmlformats.org/spreadsheetml/2006/main" id="2" name="DiscrepanciasIFIBIO" displayName="DiscrepanciasIFIBIO" ref="A4:G57" headerRowCount="1" totalsRowCount="0" totalsRowShown="0">
  <tableColumns count="7">
    <tableColumn id="1" name="Nombre"/>
    <tableColumn id="2" name="Hallazgo"/>
    <tableColumn id="3" name="Estado"/>
    <tableColumn id="4" name="Laboratorio original"/>
    <tableColumn id="5" name="Laboratorio/grupo web"/>
    <tableColumn id="6" name="Fuente"/>
    <tableColumn id="7" name="Acción sugerida"/>
  </tableColumns>
</table>
</file>

<file path=xl/tables/table3.xml><?xml version="1.0" encoding="utf-8"?>
<table xmlns="http://schemas.openxmlformats.org/spreadsheetml/2006/main" id="3" name="ExintegrantesIFIBIO" displayName="ExintegrantesIFIBIO" ref="A3:J30" headerRowCount="1" totalsRowCount="0" totalsRowShown="0">
  <tableColumns count="10">
    <tableColumn id="1" name="Nombre"/>
    <tableColumn id="2" name="Estado"/>
    <tableColumn id="3" name="Categoría publicada"/>
    <tableColumn id="4" name="Último laboratorio/grupo publicado"/>
    <tableColumn id="5" name="Subgrupo/línea"/>
    <tableColumn id="6" name="Responsable"/>
    <tableColumn id="7" name="Laboratorio original"/>
    <tableColumn id="8" name="Fuente oficial"/>
    <tableColumn id="9" name="Verificado"/>
    <tableColumn id="10" name="Observaciones"/>
  </tableColumns>
</table>
</file>

<file path=xl/tables/table4.xml><?xml version="1.0" encoding="utf-8"?>
<table xmlns="http://schemas.openxmlformats.org/spreadsheetml/2006/main" id="4" name="NominaDepurada" displayName="NominaDepurada" ref="A4:U101" headerRowCount="1" totalsRowCount="0" totalsRowShown="0">
  <tableColumns count="21">
    <tableColumn id="1" name="Nombre normalizado"/>
    <tableColumn id="2" name="Estado institucional"/>
    <tableColumn id="3" name="Tipo actual/web"/>
    <tableColumn id="4" name="Categoría publicada"/>
    <tableColumn id="5" name="Laboratorio/grupo web"/>
    <tableColumn id="6" name="Subgrupo/línea"/>
    <tableColumn id="7" name="Responsable"/>
    <tableColumn id="8" name="Área técnica CPA"/>
    <tableColumn id="9" name="Descripción funcional"/>
    <tableColumn id="10" name="Nombre en planilla original"/>
    <tableColumn id="11" name="Sección original"/>
    <tableColumn id="12" name="Rol original"/>
    <tableColumn id="13" name="Pertenencia original"/>
    <tableColumn id="14" name="Categoría original"/>
    <tableColumn id="15" name="Laboratorio original"/>
    <tableColumn id="16" name="Subgrupo original"/>
    <tableColumn id="17" name="Perfil CONICET"/>
    <tableColumn id="18" name="Página de grupo"/>
    <tableColumn id="19" name="Fuente oficial"/>
    <tableColumn id="20" name="Verificado"/>
    <tableColumn id="21" name="Observacion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5A5A5"/>
    <pageSetUpPr fitToPage="false"/>
  </sheetPr>
  <dimension ref="A1:H90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pane xSplit="0" ySplit="4" topLeftCell="A79" activePane="bottomLeft" state="frozen"/>
      <selection pane="topLeft" activeCell="F1" activeCellId="0" sqref="F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3" min="3" style="0" width="31"/>
    <col collapsed="false" customWidth="true" hidden="false" outlineLevel="0" max="4" min="4" style="0" width="35"/>
    <col collapsed="false" customWidth="true" hidden="false" outlineLevel="0" max="5" min="5" style="0" width="20"/>
    <col collapsed="false" customWidth="true" hidden="false" outlineLevel="0" max="6" min="6" style="0" width="34"/>
    <col collapsed="false" customWidth="true" hidden="false" outlineLevel="0" max="7" min="7" style="0" width="49"/>
    <col collapsed="false" customWidth="true" hidden="false" outlineLevel="0" max="8" min="8" style="0" width="5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3" t="s">
        <v>6</v>
      </c>
      <c r="F4" s="4" t="s">
        <v>7</v>
      </c>
      <c r="G4" s="4" t="s">
        <v>8</v>
      </c>
      <c r="H4" s="4" t="s">
        <v>9</v>
      </c>
    </row>
    <row r="5" customFormat="false" ht="15" hidden="false" customHeight="false" outlineLevel="0" collapsed="false">
      <c r="A5" s="5" t="n">
        <v>1</v>
      </c>
      <c r="B5" s="6" t="s">
        <v>10</v>
      </c>
      <c r="C5" s="6" t="s">
        <v>11</v>
      </c>
      <c r="D5" s="6" t="s">
        <v>12</v>
      </c>
      <c r="E5" s="5" t="s">
        <v>13</v>
      </c>
      <c r="F5" s="6" t="s">
        <v>14</v>
      </c>
      <c r="G5" s="6" t="s">
        <v>15</v>
      </c>
      <c r="H5" s="6" t="s">
        <v>16</v>
      </c>
    </row>
    <row r="6" customFormat="false" ht="15" hidden="false" customHeight="false" outlineLevel="0" collapsed="false">
      <c r="A6" s="7" t="n">
        <v>2</v>
      </c>
      <c r="B6" s="8" t="s">
        <v>17</v>
      </c>
      <c r="C6" s="8" t="s">
        <v>11</v>
      </c>
      <c r="D6" s="8" t="s">
        <v>18</v>
      </c>
      <c r="E6" s="7" t="s">
        <v>13</v>
      </c>
      <c r="F6" s="8" t="s">
        <v>19</v>
      </c>
      <c r="G6" s="8" t="s">
        <v>15</v>
      </c>
      <c r="H6" s="8" t="s">
        <v>20</v>
      </c>
    </row>
    <row r="7" customFormat="false" ht="15" hidden="false" customHeight="false" outlineLevel="0" collapsed="false">
      <c r="A7" s="5" t="n">
        <v>3</v>
      </c>
      <c r="B7" s="6" t="s">
        <v>21</v>
      </c>
      <c r="C7" s="6" t="s">
        <v>22</v>
      </c>
      <c r="D7" s="6" t="s">
        <v>23</v>
      </c>
      <c r="E7" s="5" t="s">
        <v>13</v>
      </c>
      <c r="F7" s="6" t="s">
        <v>24</v>
      </c>
      <c r="G7" s="6" t="s">
        <v>25</v>
      </c>
      <c r="H7" s="6" t="s">
        <v>26</v>
      </c>
    </row>
    <row r="8" customFormat="false" ht="15" hidden="false" customHeight="false" outlineLevel="0" collapsed="false">
      <c r="A8" s="7" t="n">
        <v>4</v>
      </c>
      <c r="B8" s="8" t="s">
        <v>27</v>
      </c>
      <c r="C8" s="8" t="s">
        <v>22</v>
      </c>
      <c r="D8" s="8" t="s">
        <v>23</v>
      </c>
      <c r="E8" s="7" t="s">
        <v>13</v>
      </c>
      <c r="F8" s="8" t="s">
        <v>24</v>
      </c>
      <c r="G8" s="8" t="s">
        <v>25</v>
      </c>
      <c r="H8" s="8" t="s">
        <v>28</v>
      </c>
    </row>
    <row r="9" customFormat="false" ht="15" hidden="false" customHeight="false" outlineLevel="0" collapsed="false">
      <c r="A9" s="5" t="n">
        <v>5</v>
      </c>
      <c r="B9" s="6" t="s">
        <v>29</v>
      </c>
      <c r="C9" s="6" t="s">
        <v>22</v>
      </c>
      <c r="D9" s="6" t="s">
        <v>30</v>
      </c>
      <c r="E9" s="5" t="s">
        <v>13</v>
      </c>
      <c r="F9" s="6" t="s">
        <v>31</v>
      </c>
      <c r="G9" s="6" t="s">
        <v>32</v>
      </c>
      <c r="H9" s="6" t="s">
        <v>33</v>
      </c>
    </row>
    <row r="10" customFormat="false" ht="15" hidden="false" customHeight="false" outlineLevel="0" collapsed="false">
      <c r="A10" s="7" t="n">
        <v>6</v>
      </c>
      <c r="B10" s="8" t="s">
        <v>34</v>
      </c>
      <c r="C10" s="8" t="s">
        <v>22</v>
      </c>
      <c r="D10" s="8" t="s">
        <v>23</v>
      </c>
      <c r="E10" s="7" t="s">
        <v>13</v>
      </c>
      <c r="F10" s="8" t="s">
        <v>19</v>
      </c>
      <c r="G10" s="8" t="s">
        <v>15</v>
      </c>
      <c r="H10" s="8" t="s">
        <v>35</v>
      </c>
    </row>
    <row r="11" customFormat="false" ht="15" hidden="false" customHeight="false" outlineLevel="0" collapsed="false">
      <c r="A11" s="5" t="n">
        <v>7</v>
      </c>
      <c r="B11" s="6" t="s">
        <v>36</v>
      </c>
      <c r="C11" s="6" t="s">
        <v>22</v>
      </c>
      <c r="D11" s="6" t="s">
        <v>23</v>
      </c>
      <c r="E11" s="5" t="s">
        <v>13</v>
      </c>
      <c r="F11" s="6" t="s">
        <v>24</v>
      </c>
      <c r="G11" s="6" t="s">
        <v>15</v>
      </c>
      <c r="H11" s="6" t="s">
        <v>37</v>
      </c>
    </row>
    <row r="12" customFormat="false" ht="15" hidden="false" customHeight="false" outlineLevel="0" collapsed="false">
      <c r="A12" s="7" t="n">
        <v>8</v>
      </c>
      <c r="B12" s="8" t="s">
        <v>10</v>
      </c>
      <c r="C12" s="8" t="s">
        <v>38</v>
      </c>
      <c r="D12" s="8" t="s">
        <v>39</v>
      </c>
      <c r="E12" s="7" t="s">
        <v>13</v>
      </c>
      <c r="F12" s="8" t="s">
        <v>14</v>
      </c>
      <c r="G12" s="8" t="s">
        <v>15</v>
      </c>
      <c r="H12" s="8" t="s">
        <v>16</v>
      </c>
    </row>
    <row r="13" customFormat="false" ht="15" hidden="false" customHeight="false" outlineLevel="0" collapsed="false">
      <c r="A13" s="5" t="n">
        <v>9</v>
      </c>
      <c r="B13" s="6" t="s">
        <v>40</v>
      </c>
      <c r="C13" s="6" t="s">
        <v>38</v>
      </c>
      <c r="D13" s="6" t="s">
        <v>39</v>
      </c>
      <c r="E13" s="5" t="s">
        <v>13</v>
      </c>
      <c r="F13" s="6" t="s">
        <v>41</v>
      </c>
      <c r="G13" s="6" t="s">
        <v>42</v>
      </c>
      <c r="H13" s="6" t="s">
        <v>43</v>
      </c>
    </row>
    <row r="14" customFormat="false" ht="15" hidden="false" customHeight="false" outlineLevel="0" collapsed="false">
      <c r="A14" s="7" t="n">
        <v>10</v>
      </c>
      <c r="B14" s="8" t="s">
        <v>44</v>
      </c>
      <c r="C14" s="8" t="s">
        <v>38</v>
      </c>
      <c r="D14" s="8" t="s">
        <v>39</v>
      </c>
      <c r="E14" s="7" t="s">
        <v>13</v>
      </c>
      <c r="F14" s="8" t="s">
        <v>41</v>
      </c>
      <c r="G14" s="8" t="s">
        <v>25</v>
      </c>
      <c r="H14" s="8" t="s">
        <v>45</v>
      </c>
    </row>
    <row r="15" customFormat="false" ht="15" hidden="false" customHeight="false" outlineLevel="0" collapsed="false">
      <c r="A15" s="5" t="n">
        <v>11</v>
      </c>
      <c r="B15" s="6" t="s">
        <v>46</v>
      </c>
      <c r="C15" s="6" t="s">
        <v>38</v>
      </c>
      <c r="D15" s="6" t="s">
        <v>39</v>
      </c>
      <c r="E15" s="5" t="s">
        <v>13</v>
      </c>
      <c r="F15" s="6" t="s">
        <v>41</v>
      </c>
      <c r="G15" s="6" t="s">
        <v>47</v>
      </c>
      <c r="H15" s="6" t="s">
        <v>48</v>
      </c>
    </row>
    <row r="16" customFormat="false" ht="15" hidden="false" customHeight="false" outlineLevel="0" collapsed="false">
      <c r="A16" s="7" t="n">
        <v>12</v>
      </c>
      <c r="B16" s="8" t="s">
        <v>49</v>
      </c>
      <c r="C16" s="8" t="s">
        <v>38</v>
      </c>
      <c r="D16" s="8" t="s">
        <v>39</v>
      </c>
      <c r="E16" s="7" t="s">
        <v>13</v>
      </c>
      <c r="F16" s="8" t="s">
        <v>19</v>
      </c>
      <c r="G16" s="8" t="s">
        <v>50</v>
      </c>
      <c r="H16" s="8" t="s">
        <v>51</v>
      </c>
    </row>
    <row r="17" customFormat="false" ht="15" hidden="false" customHeight="false" outlineLevel="0" collapsed="false">
      <c r="A17" s="5" t="n">
        <v>13</v>
      </c>
      <c r="B17" s="6" t="s">
        <v>17</v>
      </c>
      <c r="C17" s="6" t="s">
        <v>38</v>
      </c>
      <c r="D17" s="6" t="s">
        <v>39</v>
      </c>
      <c r="E17" s="5" t="s">
        <v>13</v>
      </c>
      <c r="F17" s="6" t="s">
        <v>19</v>
      </c>
      <c r="G17" s="6" t="s">
        <v>15</v>
      </c>
      <c r="H17" s="6" t="s">
        <v>20</v>
      </c>
    </row>
    <row r="18" customFormat="false" ht="15" hidden="false" customHeight="false" outlineLevel="0" collapsed="false">
      <c r="A18" s="7" t="n">
        <v>14</v>
      </c>
      <c r="B18" s="8" t="s">
        <v>52</v>
      </c>
      <c r="C18" s="8" t="s">
        <v>38</v>
      </c>
      <c r="D18" s="8" t="s">
        <v>39</v>
      </c>
      <c r="E18" s="7" t="s">
        <v>13</v>
      </c>
      <c r="F18" s="8" t="s">
        <v>19</v>
      </c>
      <c r="G18" s="8" t="s">
        <v>42</v>
      </c>
      <c r="H18" s="8" t="s">
        <v>53</v>
      </c>
    </row>
    <row r="19" customFormat="false" ht="15" hidden="false" customHeight="false" outlineLevel="0" collapsed="false">
      <c r="A19" s="5" t="n">
        <v>15</v>
      </c>
      <c r="B19" s="6" t="s">
        <v>54</v>
      </c>
      <c r="C19" s="6" t="s">
        <v>38</v>
      </c>
      <c r="D19" s="6" t="s">
        <v>39</v>
      </c>
      <c r="E19" s="5" t="s">
        <v>13</v>
      </c>
      <c r="F19" s="6" t="s">
        <v>19</v>
      </c>
      <c r="G19" s="6" t="s">
        <v>25</v>
      </c>
      <c r="H19" s="6" t="s">
        <v>55</v>
      </c>
    </row>
    <row r="20" customFormat="false" ht="15" hidden="false" customHeight="false" outlineLevel="0" collapsed="false">
      <c r="A20" s="7" t="n">
        <v>16</v>
      </c>
      <c r="B20" s="8" t="s">
        <v>56</v>
      </c>
      <c r="C20" s="8" t="s">
        <v>38</v>
      </c>
      <c r="D20" s="8" t="s">
        <v>39</v>
      </c>
      <c r="E20" s="7" t="s">
        <v>13</v>
      </c>
      <c r="F20" s="8" t="s">
        <v>19</v>
      </c>
      <c r="G20" s="8" t="s">
        <v>57</v>
      </c>
      <c r="H20" s="8" t="s">
        <v>58</v>
      </c>
    </row>
    <row r="21" customFormat="false" ht="15" hidden="false" customHeight="false" outlineLevel="0" collapsed="false">
      <c r="A21" s="5" t="n">
        <v>17</v>
      </c>
      <c r="B21" s="6" t="s">
        <v>59</v>
      </c>
      <c r="C21" s="6" t="s">
        <v>38</v>
      </c>
      <c r="D21" s="6" t="s">
        <v>39</v>
      </c>
      <c r="E21" s="5" t="s">
        <v>13</v>
      </c>
      <c r="F21" s="6" t="s">
        <v>19</v>
      </c>
      <c r="G21" s="6" t="s">
        <v>15</v>
      </c>
      <c r="H21" s="6" t="s">
        <v>60</v>
      </c>
    </row>
    <row r="22" customFormat="false" ht="15" hidden="false" customHeight="false" outlineLevel="0" collapsed="false">
      <c r="A22" s="7" t="n">
        <v>18</v>
      </c>
      <c r="B22" s="8" t="s">
        <v>34</v>
      </c>
      <c r="C22" s="8" t="s">
        <v>38</v>
      </c>
      <c r="D22" s="8" t="s">
        <v>39</v>
      </c>
      <c r="E22" s="7" t="s">
        <v>13</v>
      </c>
      <c r="F22" s="8" t="s">
        <v>19</v>
      </c>
      <c r="G22" s="8" t="s">
        <v>15</v>
      </c>
      <c r="H22" s="8" t="s">
        <v>35</v>
      </c>
    </row>
    <row r="23" customFormat="false" ht="15" hidden="false" customHeight="false" outlineLevel="0" collapsed="false">
      <c r="A23" s="5" t="n">
        <v>19</v>
      </c>
      <c r="B23" s="6" t="s">
        <v>61</v>
      </c>
      <c r="C23" s="6" t="s">
        <v>38</v>
      </c>
      <c r="D23" s="6" t="s">
        <v>39</v>
      </c>
      <c r="E23" s="5" t="s">
        <v>13</v>
      </c>
      <c r="F23" s="6" t="s">
        <v>19</v>
      </c>
      <c r="G23" s="6" t="s">
        <v>15</v>
      </c>
      <c r="H23" s="6" t="s">
        <v>62</v>
      </c>
    </row>
    <row r="24" customFormat="false" ht="15" hidden="false" customHeight="false" outlineLevel="0" collapsed="false">
      <c r="A24" s="7" t="n">
        <v>20</v>
      </c>
      <c r="B24" s="8" t="s">
        <v>63</v>
      </c>
      <c r="C24" s="8" t="s">
        <v>38</v>
      </c>
      <c r="D24" s="8" t="s">
        <v>39</v>
      </c>
      <c r="E24" s="7" t="s">
        <v>13</v>
      </c>
      <c r="F24" s="8" t="s">
        <v>24</v>
      </c>
      <c r="G24" s="8" t="s">
        <v>15</v>
      </c>
      <c r="H24" s="8" t="s">
        <v>64</v>
      </c>
    </row>
    <row r="25" customFormat="false" ht="15" hidden="false" customHeight="false" outlineLevel="0" collapsed="false">
      <c r="A25" s="5" t="n">
        <v>21</v>
      </c>
      <c r="B25" s="6" t="s">
        <v>65</v>
      </c>
      <c r="C25" s="6" t="s">
        <v>38</v>
      </c>
      <c r="D25" s="6" t="s">
        <v>39</v>
      </c>
      <c r="E25" s="5" t="s">
        <v>13</v>
      </c>
      <c r="F25" s="6" t="s">
        <v>24</v>
      </c>
      <c r="G25" s="6" t="s">
        <v>66</v>
      </c>
      <c r="H25" s="6" t="s">
        <v>67</v>
      </c>
    </row>
    <row r="26" customFormat="false" ht="15" hidden="false" customHeight="false" outlineLevel="0" collapsed="false">
      <c r="A26" s="7" t="n">
        <v>22</v>
      </c>
      <c r="B26" s="8" t="s">
        <v>68</v>
      </c>
      <c r="C26" s="8" t="s">
        <v>38</v>
      </c>
      <c r="D26" s="8" t="s">
        <v>39</v>
      </c>
      <c r="E26" s="7" t="s">
        <v>13</v>
      </c>
      <c r="F26" s="8" t="s">
        <v>24</v>
      </c>
      <c r="G26" s="8" t="s">
        <v>15</v>
      </c>
      <c r="H26" s="8" t="s">
        <v>69</v>
      </c>
    </row>
    <row r="27" customFormat="false" ht="15" hidden="false" customHeight="false" outlineLevel="0" collapsed="false">
      <c r="A27" s="5" t="n">
        <v>23</v>
      </c>
      <c r="B27" s="6" t="s">
        <v>27</v>
      </c>
      <c r="C27" s="6" t="s">
        <v>38</v>
      </c>
      <c r="D27" s="6" t="s">
        <v>39</v>
      </c>
      <c r="E27" s="5" t="s">
        <v>13</v>
      </c>
      <c r="F27" s="6" t="s">
        <v>24</v>
      </c>
      <c r="G27" s="6" t="s">
        <v>25</v>
      </c>
      <c r="H27" s="6" t="s">
        <v>28</v>
      </c>
    </row>
    <row r="28" customFormat="false" ht="15" hidden="false" customHeight="false" outlineLevel="0" collapsed="false">
      <c r="A28" s="7" t="n">
        <v>24</v>
      </c>
      <c r="B28" s="8" t="s">
        <v>36</v>
      </c>
      <c r="C28" s="8" t="s">
        <v>38</v>
      </c>
      <c r="D28" s="8" t="s">
        <v>39</v>
      </c>
      <c r="E28" s="7" t="s">
        <v>13</v>
      </c>
      <c r="F28" s="8" t="s">
        <v>24</v>
      </c>
      <c r="G28" s="8" t="s">
        <v>15</v>
      </c>
      <c r="H28" s="8" t="s">
        <v>37</v>
      </c>
    </row>
    <row r="29" customFormat="false" ht="15" hidden="false" customHeight="false" outlineLevel="0" collapsed="false">
      <c r="A29" s="5" t="n">
        <v>25</v>
      </c>
      <c r="B29" s="6" t="s">
        <v>70</v>
      </c>
      <c r="C29" s="6" t="s">
        <v>38</v>
      </c>
      <c r="D29" s="6" t="s">
        <v>39</v>
      </c>
      <c r="E29" s="5" t="s">
        <v>13</v>
      </c>
      <c r="F29" s="6" t="s">
        <v>24</v>
      </c>
      <c r="G29" s="6" t="s">
        <v>15</v>
      </c>
      <c r="H29" s="6" t="s">
        <v>71</v>
      </c>
    </row>
    <row r="30" customFormat="false" ht="15" hidden="false" customHeight="false" outlineLevel="0" collapsed="false">
      <c r="A30" s="7" t="n">
        <v>26</v>
      </c>
      <c r="B30" s="8" t="s">
        <v>72</v>
      </c>
      <c r="C30" s="8" t="s">
        <v>38</v>
      </c>
      <c r="D30" s="8" t="s">
        <v>39</v>
      </c>
      <c r="E30" s="7" t="s">
        <v>13</v>
      </c>
      <c r="F30" s="8" t="s">
        <v>24</v>
      </c>
      <c r="G30" s="8" t="s">
        <v>50</v>
      </c>
      <c r="H30" s="8" t="s">
        <v>73</v>
      </c>
    </row>
    <row r="31" customFormat="false" ht="15" hidden="false" customHeight="false" outlineLevel="0" collapsed="false">
      <c r="A31" s="5" t="n">
        <v>27</v>
      </c>
      <c r="B31" s="6" t="s">
        <v>74</v>
      </c>
      <c r="C31" s="6" t="s">
        <v>38</v>
      </c>
      <c r="D31" s="6" t="s">
        <v>39</v>
      </c>
      <c r="E31" s="5" t="s">
        <v>13</v>
      </c>
      <c r="F31" s="6" t="s">
        <v>24</v>
      </c>
      <c r="G31" s="6" t="s">
        <v>50</v>
      </c>
      <c r="H31" s="6" t="s">
        <v>75</v>
      </c>
    </row>
    <row r="32" customFormat="false" ht="15" hidden="false" customHeight="false" outlineLevel="0" collapsed="false">
      <c r="A32" s="7" t="n">
        <v>28</v>
      </c>
      <c r="B32" s="8" t="s">
        <v>76</v>
      </c>
      <c r="C32" s="8" t="s">
        <v>38</v>
      </c>
      <c r="D32" s="8" t="s">
        <v>39</v>
      </c>
      <c r="E32" s="7" t="s">
        <v>13</v>
      </c>
      <c r="F32" s="8" t="s">
        <v>24</v>
      </c>
      <c r="G32" s="8" t="s">
        <v>25</v>
      </c>
      <c r="H32" s="8" t="s">
        <v>77</v>
      </c>
    </row>
    <row r="33" customFormat="false" ht="15" hidden="false" customHeight="false" outlineLevel="0" collapsed="false">
      <c r="A33" s="5" t="n">
        <v>29</v>
      </c>
      <c r="B33" s="6" t="s">
        <v>78</v>
      </c>
      <c r="C33" s="6" t="s">
        <v>38</v>
      </c>
      <c r="D33" s="6" t="s">
        <v>39</v>
      </c>
      <c r="E33" s="5" t="s">
        <v>13</v>
      </c>
      <c r="F33" s="6" t="s">
        <v>24</v>
      </c>
      <c r="G33" s="6" t="s">
        <v>15</v>
      </c>
      <c r="H33" s="6" t="s">
        <v>79</v>
      </c>
    </row>
    <row r="34" customFormat="false" ht="15" hidden="false" customHeight="false" outlineLevel="0" collapsed="false">
      <c r="A34" s="7" t="n">
        <v>30</v>
      </c>
      <c r="B34" s="8" t="s">
        <v>21</v>
      </c>
      <c r="C34" s="8" t="s">
        <v>38</v>
      </c>
      <c r="D34" s="8" t="s">
        <v>39</v>
      </c>
      <c r="E34" s="7" t="s">
        <v>13</v>
      </c>
      <c r="F34" s="8" t="s">
        <v>24</v>
      </c>
      <c r="G34" s="8" t="s">
        <v>25</v>
      </c>
      <c r="H34" s="8" t="s">
        <v>26</v>
      </c>
    </row>
    <row r="35" customFormat="false" ht="15" hidden="false" customHeight="false" outlineLevel="0" collapsed="false">
      <c r="A35" s="5" t="n">
        <v>31</v>
      </c>
      <c r="B35" s="6" t="s">
        <v>80</v>
      </c>
      <c r="C35" s="6" t="s">
        <v>38</v>
      </c>
      <c r="D35" s="6" t="s">
        <v>39</v>
      </c>
      <c r="E35" s="5" t="s">
        <v>13</v>
      </c>
      <c r="F35" s="6" t="s">
        <v>24</v>
      </c>
      <c r="G35" s="6" t="s">
        <v>50</v>
      </c>
      <c r="H35" s="6" t="s">
        <v>81</v>
      </c>
    </row>
    <row r="36" customFormat="false" ht="15" hidden="false" customHeight="false" outlineLevel="0" collapsed="false">
      <c r="A36" s="7" t="n">
        <v>32</v>
      </c>
      <c r="B36" s="8" t="s">
        <v>82</v>
      </c>
      <c r="C36" s="8" t="s">
        <v>38</v>
      </c>
      <c r="D36" s="8" t="s">
        <v>39</v>
      </c>
      <c r="E36" s="7" t="s">
        <v>13</v>
      </c>
      <c r="F36" s="8" t="s">
        <v>24</v>
      </c>
      <c r="G36" s="8" t="s">
        <v>25</v>
      </c>
      <c r="H36" s="8" t="s">
        <v>83</v>
      </c>
    </row>
    <row r="37" customFormat="false" ht="15" hidden="false" customHeight="false" outlineLevel="0" collapsed="false">
      <c r="A37" s="5" t="n">
        <v>33</v>
      </c>
      <c r="B37" s="6" t="s">
        <v>84</v>
      </c>
      <c r="C37" s="6" t="s">
        <v>38</v>
      </c>
      <c r="D37" s="6" t="s">
        <v>39</v>
      </c>
      <c r="E37" s="5" t="s">
        <v>13</v>
      </c>
      <c r="F37" s="6" t="s">
        <v>24</v>
      </c>
      <c r="G37" s="6" t="s">
        <v>15</v>
      </c>
      <c r="H37" s="6" t="s">
        <v>85</v>
      </c>
    </row>
    <row r="38" customFormat="false" ht="15" hidden="false" customHeight="false" outlineLevel="0" collapsed="false">
      <c r="A38" s="7" t="n">
        <v>34</v>
      </c>
      <c r="B38" s="8" t="s">
        <v>86</v>
      </c>
      <c r="C38" s="8" t="s">
        <v>38</v>
      </c>
      <c r="D38" s="8" t="s">
        <v>39</v>
      </c>
      <c r="E38" s="7" t="s">
        <v>13</v>
      </c>
      <c r="F38" s="8" t="s">
        <v>87</v>
      </c>
      <c r="G38" s="8" t="s">
        <v>50</v>
      </c>
      <c r="H38" s="8" t="s">
        <v>88</v>
      </c>
    </row>
    <row r="39" customFormat="false" ht="15" hidden="false" customHeight="false" outlineLevel="0" collapsed="false">
      <c r="A39" s="5" t="n">
        <v>35</v>
      </c>
      <c r="B39" s="6" t="s">
        <v>89</v>
      </c>
      <c r="C39" s="6" t="s">
        <v>38</v>
      </c>
      <c r="D39" s="6" t="s">
        <v>39</v>
      </c>
      <c r="E39" s="5" t="s">
        <v>13</v>
      </c>
      <c r="F39" s="6" t="s">
        <v>87</v>
      </c>
      <c r="G39" s="6" t="s">
        <v>15</v>
      </c>
      <c r="H39" s="6" t="s">
        <v>16</v>
      </c>
    </row>
    <row r="40" customFormat="false" ht="15" hidden="false" customHeight="false" outlineLevel="0" collapsed="false">
      <c r="A40" s="7" t="n">
        <v>36</v>
      </c>
      <c r="B40" s="8" t="s">
        <v>90</v>
      </c>
      <c r="C40" s="8" t="s">
        <v>38</v>
      </c>
      <c r="D40" s="8" t="s">
        <v>39</v>
      </c>
      <c r="E40" s="7" t="s">
        <v>13</v>
      </c>
      <c r="F40" s="8" t="s">
        <v>87</v>
      </c>
      <c r="G40" s="8" t="s">
        <v>15</v>
      </c>
      <c r="H40" s="8" t="s">
        <v>91</v>
      </c>
    </row>
    <row r="41" customFormat="false" ht="15" hidden="false" customHeight="false" outlineLevel="0" collapsed="false">
      <c r="A41" s="5" t="n">
        <v>37</v>
      </c>
      <c r="B41" s="6" t="s">
        <v>92</v>
      </c>
      <c r="C41" s="6" t="s">
        <v>38</v>
      </c>
      <c r="D41" s="6" t="s">
        <v>39</v>
      </c>
      <c r="E41" s="5" t="s">
        <v>13</v>
      </c>
      <c r="F41" s="6" t="s">
        <v>87</v>
      </c>
      <c r="G41" s="6" t="s">
        <v>15</v>
      </c>
      <c r="H41" s="6" t="s">
        <v>93</v>
      </c>
    </row>
    <row r="42" customFormat="false" ht="15" hidden="false" customHeight="false" outlineLevel="0" collapsed="false">
      <c r="A42" s="7" t="n">
        <v>38</v>
      </c>
      <c r="B42" s="8" t="s">
        <v>94</v>
      </c>
      <c r="C42" s="8" t="s">
        <v>95</v>
      </c>
      <c r="D42" s="8" t="s">
        <v>96</v>
      </c>
      <c r="E42" s="7" t="s">
        <v>13</v>
      </c>
      <c r="F42" s="8" t="s">
        <v>97</v>
      </c>
      <c r="G42" s="8" t="s">
        <v>50</v>
      </c>
      <c r="H42" s="8" t="s">
        <v>98</v>
      </c>
    </row>
    <row r="43" customFormat="false" ht="15" hidden="false" customHeight="false" outlineLevel="0" collapsed="false">
      <c r="A43" s="5" t="n">
        <v>39</v>
      </c>
      <c r="B43" s="6" t="s">
        <v>99</v>
      </c>
      <c r="C43" s="6" t="s">
        <v>100</v>
      </c>
      <c r="D43" s="6" t="s">
        <v>101</v>
      </c>
      <c r="E43" s="5" t="s">
        <v>13</v>
      </c>
      <c r="F43" s="6" t="s">
        <v>102</v>
      </c>
      <c r="G43" s="6" t="s">
        <v>25</v>
      </c>
      <c r="H43" s="6" t="s">
        <v>55</v>
      </c>
    </row>
    <row r="44" customFormat="false" ht="15" hidden="false" customHeight="false" outlineLevel="0" collapsed="false">
      <c r="A44" s="7" t="n">
        <v>40</v>
      </c>
      <c r="B44" s="8" t="s">
        <v>103</v>
      </c>
      <c r="C44" s="8" t="s">
        <v>100</v>
      </c>
      <c r="D44" s="8" t="s">
        <v>101</v>
      </c>
      <c r="E44" s="7" t="s">
        <v>13</v>
      </c>
      <c r="F44" s="8" t="s">
        <v>102</v>
      </c>
      <c r="G44" s="8" t="s">
        <v>50</v>
      </c>
      <c r="H44" s="8" t="s">
        <v>104</v>
      </c>
    </row>
    <row r="45" customFormat="false" ht="15" hidden="false" customHeight="false" outlineLevel="0" collapsed="false">
      <c r="A45" s="5" t="n">
        <v>41</v>
      </c>
      <c r="B45" s="6" t="s">
        <v>105</v>
      </c>
      <c r="C45" s="6" t="s">
        <v>100</v>
      </c>
      <c r="D45" s="6" t="s">
        <v>101</v>
      </c>
      <c r="E45" s="5" t="s">
        <v>13</v>
      </c>
      <c r="F45" s="6" t="s">
        <v>106</v>
      </c>
      <c r="G45" s="6" t="s">
        <v>50</v>
      </c>
      <c r="H45" s="6" t="s">
        <v>107</v>
      </c>
    </row>
    <row r="46" customFormat="false" ht="15" hidden="false" customHeight="false" outlineLevel="0" collapsed="false">
      <c r="A46" s="7" t="n">
        <v>42</v>
      </c>
      <c r="B46" s="8" t="s">
        <v>108</v>
      </c>
      <c r="C46" s="8" t="s">
        <v>100</v>
      </c>
      <c r="D46" s="8" t="s">
        <v>101</v>
      </c>
      <c r="E46" s="7" t="s">
        <v>13</v>
      </c>
      <c r="F46" s="8" t="s">
        <v>109</v>
      </c>
      <c r="G46" s="8" t="s">
        <v>15</v>
      </c>
      <c r="H46" s="8" t="s">
        <v>110</v>
      </c>
    </row>
    <row r="47" customFormat="false" ht="15" hidden="false" customHeight="false" outlineLevel="0" collapsed="false">
      <c r="A47" s="5" t="n">
        <v>43</v>
      </c>
      <c r="B47" s="6" t="s">
        <v>111</v>
      </c>
      <c r="C47" s="6" t="s">
        <v>100</v>
      </c>
      <c r="D47" s="6" t="s">
        <v>101</v>
      </c>
      <c r="E47" s="5" t="s">
        <v>13</v>
      </c>
      <c r="F47" s="6" t="s">
        <v>109</v>
      </c>
      <c r="G47" s="6" t="s">
        <v>25</v>
      </c>
      <c r="H47" s="6" t="s">
        <v>55</v>
      </c>
    </row>
    <row r="48" customFormat="false" ht="15" hidden="false" customHeight="false" outlineLevel="0" collapsed="false">
      <c r="A48" s="7" t="n">
        <v>44</v>
      </c>
      <c r="B48" s="8" t="s">
        <v>112</v>
      </c>
      <c r="C48" s="8" t="s">
        <v>100</v>
      </c>
      <c r="D48" s="8" t="s">
        <v>101</v>
      </c>
      <c r="E48" s="7" t="s">
        <v>13</v>
      </c>
      <c r="F48" s="8" t="s">
        <v>109</v>
      </c>
      <c r="G48" s="8" t="s">
        <v>15</v>
      </c>
      <c r="H48" s="8" t="s">
        <v>110</v>
      </c>
    </row>
    <row r="49" customFormat="false" ht="15" hidden="false" customHeight="false" outlineLevel="0" collapsed="false">
      <c r="A49" s="5" t="n">
        <v>45</v>
      </c>
      <c r="B49" s="6" t="s">
        <v>113</v>
      </c>
      <c r="C49" s="6" t="s">
        <v>100</v>
      </c>
      <c r="D49" s="6" t="s">
        <v>101</v>
      </c>
      <c r="E49" s="5" t="s">
        <v>13</v>
      </c>
      <c r="F49" s="6" t="s">
        <v>109</v>
      </c>
      <c r="G49" s="6" t="s">
        <v>15</v>
      </c>
      <c r="H49" s="6" t="s">
        <v>110</v>
      </c>
    </row>
    <row r="50" customFormat="false" ht="15" hidden="false" customHeight="false" outlineLevel="0" collapsed="false">
      <c r="A50" s="7" t="n">
        <v>46</v>
      </c>
      <c r="B50" s="8" t="s">
        <v>114</v>
      </c>
      <c r="C50" s="8" t="s">
        <v>100</v>
      </c>
      <c r="D50" s="8" t="s">
        <v>101</v>
      </c>
      <c r="E50" s="7" t="s">
        <v>13</v>
      </c>
      <c r="F50" s="8" t="s">
        <v>109</v>
      </c>
      <c r="G50" s="8" t="s">
        <v>25</v>
      </c>
      <c r="H50" s="8" t="s">
        <v>55</v>
      </c>
    </row>
    <row r="51" customFormat="false" ht="15" hidden="false" customHeight="false" outlineLevel="0" collapsed="false">
      <c r="A51" s="5" t="n">
        <v>47</v>
      </c>
      <c r="B51" s="6" t="s">
        <v>115</v>
      </c>
      <c r="C51" s="6" t="s">
        <v>100</v>
      </c>
      <c r="D51" s="6" t="s">
        <v>101</v>
      </c>
      <c r="E51" s="5" t="s">
        <v>13</v>
      </c>
      <c r="F51" s="6" t="s">
        <v>109</v>
      </c>
      <c r="G51" s="6" t="s">
        <v>50</v>
      </c>
      <c r="H51" s="6" t="s">
        <v>116</v>
      </c>
    </row>
    <row r="52" customFormat="false" ht="15" hidden="false" customHeight="false" outlineLevel="0" collapsed="false">
      <c r="A52" s="7" t="n">
        <v>48</v>
      </c>
      <c r="B52" s="8" t="s">
        <v>117</v>
      </c>
      <c r="C52" s="8" t="s">
        <v>100</v>
      </c>
      <c r="D52" s="8" t="s">
        <v>101</v>
      </c>
      <c r="E52" s="7" t="s">
        <v>13</v>
      </c>
      <c r="F52" s="8" t="s">
        <v>109</v>
      </c>
      <c r="G52" s="8" t="s">
        <v>15</v>
      </c>
      <c r="H52" s="8" t="s">
        <v>110</v>
      </c>
    </row>
    <row r="53" customFormat="false" ht="15" hidden="false" customHeight="false" outlineLevel="0" collapsed="false">
      <c r="A53" s="5" t="n">
        <v>49</v>
      </c>
      <c r="B53" s="6" t="s">
        <v>118</v>
      </c>
      <c r="C53" s="6" t="s">
        <v>100</v>
      </c>
      <c r="D53" s="6" t="s">
        <v>101</v>
      </c>
      <c r="E53" s="5" t="s">
        <v>13</v>
      </c>
      <c r="F53" s="6" t="s">
        <v>109</v>
      </c>
      <c r="G53" s="6" t="s">
        <v>25</v>
      </c>
      <c r="H53" s="6" t="s">
        <v>55</v>
      </c>
    </row>
    <row r="54" customFormat="false" ht="15" hidden="false" customHeight="false" outlineLevel="0" collapsed="false">
      <c r="A54" s="7" t="n">
        <v>50</v>
      </c>
      <c r="B54" s="8" t="s">
        <v>119</v>
      </c>
      <c r="C54" s="8" t="s">
        <v>100</v>
      </c>
      <c r="D54" s="8" t="s">
        <v>101</v>
      </c>
      <c r="E54" s="7" t="s">
        <v>13</v>
      </c>
      <c r="F54" s="8" t="s">
        <v>109</v>
      </c>
      <c r="G54" s="8" t="s">
        <v>15</v>
      </c>
      <c r="H54" s="8" t="s">
        <v>110</v>
      </c>
    </row>
    <row r="55" customFormat="false" ht="15" hidden="false" customHeight="false" outlineLevel="0" collapsed="false">
      <c r="A55" s="5" t="n">
        <v>51</v>
      </c>
      <c r="B55" s="6" t="s">
        <v>120</v>
      </c>
      <c r="C55" s="6" t="s">
        <v>100</v>
      </c>
      <c r="D55" s="6" t="s">
        <v>101</v>
      </c>
      <c r="E55" s="5" t="s">
        <v>13</v>
      </c>
      <c r="F55" s="6" t="s">
        <v>109</v>
      </c>
      <c r="G55" s="6" t="s">
        <v>15</v>
      </c>
      <c r="H55" s="6" t="s">
        <v>110</v>
      </c>
    </row>
    <row r="56" customFormat="false" ht="15" hidden="false" customHeight="false" outlineLevel="0" collapsed="false">
      <c r="A56" s="7" t="n">
        <v>52</v>
      </c>
      <c r="B56" s="8" t="s">
        <v>121</v>
      </c>
      <c r="C56" s="8" t="s">
        <v>100</v>
      </c>
      <c r="D56" s="8" t="s">
        <v>101</v>
      </c>
      <c r="E56" s="7" t="s">
        <v>13</v>
      </c>
      <c r="F56" s="8" t="s">
        <v>109</v>
      </c>
      <c r="G56" s="8" t="s">
        <v>15</v>
      </c>
      <c r="H56" s="8" t="s">
        <v>110</v>
      </c>
    </row>
    <row r="57" customFormat="false" ht="15" hidden="false" customHeight="false" outlineLevel="0" collapsed="false">
      <c r="A57" s="5" t="n">
        <v>53</v>
      </c>
      <c r="B57" s="6" t="s">
        <v>122</v>
      </c>
      <c r="C57" s="6" t="s">
        <v>100</v>
      </c>
      <c r="D57" s="6" t="s">
        <v>101</v>
      </c>
      <c r="E57" s="5" t="s">
        <v>13</v>
      </c>
      <c r="F57" s="6" t="s">
        <v>123</v>
      </c>
      <c r="G57" s="6" t="s">
        <v>25</v>
      </c>
      <c r="H57" s="6" t="s">
        <v>55</v>
      </c>
    </row>
    <row r="58" customFormat="false" ht="15" hidden="false" customHeight="false" outlineLevel="0" collapsed="false">
      <c r="A58" s="7" t="n">
        <v>54</v>
      </c>
      <c r="B58" s="8" t="s">
        <v>124</v>
      </c>
      <c r="C58" s="8" t="s">
        <v>100</v>
      </c>
      <c r="D58" s="8" t="s">
        <v>101</v>
      </c>
      <c r="E58" s="7" t="s">
        <v>13</v>
      </c>
      <c r="F58" s="8" t="s">
        <v>123</v>
      </c>
      <c r="G58" s="8" t="s">
        <v>15</v>
      </c>
      <c r="H58" s="8" t="s">
        <v>125</v>
      </c>
    </row>
    <row r="59" customFormat="false" ht="15" hidden="false" customHeight="false" outlineLevel="0" collapsed="false">
      <c r="A59" s="5" t="n">
        <v>55</v>
      </c>
      <c r="B59" s="6" t="s">
        <v>126</v>
      </c>
      <c r="C59" s="6" t="s">
        <v>100</v>
      </c>
      <c r="D59" s="6" t="s">
        <v>101</v>
      </c>
      <c r="E59" s="5" t="s">
        <v>13</v>
      </c>
      <c r="F59" s="6" t="s">
        <v>123</v>
      </c>
      <c r="G59" s="6" t="s">
        <v>25</v>
      </c>
      <c r="H59" s="6" t="s">
        <v>55</v>
      </c>
    </row>
    <row r="60" customFormat="false" ht="15" hidden="false" customHeight="false" outlineLevel="0" collapsed="false">
      <c r="A60" s="7" t="n">
        <v>56</v>
      </c>
      <c r="B60" s="8" t="s">
        <v>127</v>
      </c>
      <c r="C60" s="8" t="s">
        <v>100</v>
      </c>
      <c r="D60" s="8" t="s">
        <v>101</v>
      </c>
      <c r="E60" s="7" t="s">
        <v>13</v>
      </c>
      <c r="F60" s="8" t="s">
        <v>123</v>
      </c>
      <c r="G60" s="8" t="s">
        <v>15</v>
      </c>
      <c r="H60" s="8" t="s">
        <v>110</v>
      </c>
    </row>
    <row r="61" customFormat="false" ht="15" hidden="false" customHeight="false" outlineLevel="0" collapsed="false">
      <c r="A61" s="5" t="n">
        <v>57</v>
      </c>
      <c r="B61" s="6" t="s">
        <v>128</v>
      </c>
      <c r="C61" s="6" t="s">
        <v>100</v>
      </c>
      <c r="D61" s="6" t="s">
        <v>101</v>
      </c>
      <c r="E61" s="5" t="s">
        <v>13</v>
      </c>
      <c r="F61" s="6" t="s">
        <v>129</v>
      </c>
      <c r="G61" s="6" t="s">
        <v>15</v>
      </c>
      <c r="H61" s="6" t="s">
        <v>130</v>
      </c>
    </row>
    <row r="62" customFormat="false" ht="15" hidden="false" customHeight="false" outlineLevel="0" collapsed="false">
      <c r="A62" s="7" t="n">
        <v>58</v>
      </c>
      <c r="B62" s="8" t="s">
        <v>131</v>
      </c>
      <c r="C62" s="8" t="s">
        <v>132</v>
      </c>
      <c r="D62" s="8" t="s">
        <v>133</v>
      </c>
      <c r="E62" s="7" t="s">
        <v>13</v>
      </c>
      <c r="F62" s="8" t="s">
        <v>134</v>
      </c>
      <c r="G62" s="8" t="s">
        <v>135</v>
      </c>
      <c r="H62" s="8" t="s">
        <v>136</v>
      </c>
    </row>
    <row r="63" customFormat="false" ht="15" hidden="false" customHeight="false" outlineLevel="0" collapsed="false">
      <c r="A63" s="5" t="n">
        <v>59</v>
      </c>
      <c r="B63" s="6" t="s">
        <v>137</v>
      </c>
      <c r="C63" s="6" t="s">
        <v>132</v>
      </c>
      <c r="D63" s="6" t="s">
        <v>133</v>
      </c>
      <c r="E63" s="5" t="s">
        <v>13</v>
      </c>
      <c r="F63" s="6" t="s">
        <v>138</v>
      </c>
      <c r="G63" s="6" t="s">
        <v>139</v>
      </c>
      <c r="H63" s="6" t="s">
        <v>140</v>
      </c>
    </row>
    <row r="64" customFormat="false" ht="15" hidden="false" customHeight="false" outlineLevel="0" collapsed="false">
      <c r="A64" s="7" t="n">
        <v>60</v>
      </c>
      <c r="B64" s="8" t="s">
        <v>141</v>
      </c>
      <c r="C64" s="8" t="s">
        <v>132</v>
      </c>
      <c r="D64" s="8" t="s">
        <v>133</v>
      </c>
      <c r="E64" s="7" t="s">
        <v>13</v>
      </c>
      <c r="F64" s="8" t="s">
        <v>142</v>
      </c>
      <c r="G64" s="8" t="s">
        <v>139</v>
      </c>
      <c r="H64" s="8" t="s">
        <v>143</v>
      </c>
    </row>
    <row r="65" customFormat="false" ht="15" hidden="false" customHeight="false" outlineLevel="0" collapsed="false">
      <c r="A65" s="5" t="n">
        <v>61</v>
      </c>
      <c r="B65" s="6" t="s">
        <v>29</v>
      </c>
      <c r="C65" s="6" t="s">
        <v>132</v>
      </c>
      <c r="D65" s="6" t="s">
        <v>133</v>
      </c>
      <c r="E65" s="5" t="s">
        <v>13</v>
      </c>
      <c r="F65" s="6" t="s">
        <v>31</v>
      </c>
      <c r="G65" s="6" t="s">
        <v>139</v>
      </c>
      <c r="H65" s="6" t="s">
        <v>33</v>
      </c>
    </row>
    <row r="66" customFormat="false" ht="15" hidden="false" customHeight="false" outlineLevel="0" collapsed="false">
      <c r="A66" s="7" t="n">
        <v>62</v>
      </c>
      <c r="B66" s="8" t="s">
        <v>144</v>
      </c>
      <c r="C66" s="8" t="s">
        <v>132</v>
      </c>
      <c r="D66" s="8" t="s">
        <v>133</v>
      </c>
      <c r="E66" s="7" t="s">
        <v>13</v>
      </c>
      <c r="F66" s="8" t="s">
        <v>31</v>
      </c>
      <c r="G66" s="8" t="s">
        <v>139</v>
      </c>
      <c r="H66" s="8" t="s">
        <v>33</v>
      </c>
    </row>
    <row r="67" customFormat="false" ht="15" hidden="false" customHeight="false" outlineLevel="0" collapsed="false">
      <c r="A67" s="5" t="n">
        <v>63</v>
      </c>
      <c r="B67" s="6" t="s">
        <v>145</v>
      </c>
      <c r="C67" s="6" t="s">
        <v>132</v>
      </c>
      <c r="D67" s="6" t="s">
        <v>133</v>
      </c>
      <c r="E67" s="5" t="s">
        <v>13</v>
      </c>
      <c r="F67" s="6" t="s">
        <v>31</v>
      </c>
      <c r="G67" s="6" t="s">
        <v>139</v>
      </c>
      <c r="H67" s="6" t="s">
        <v>33</v>
      </c>
    </row>
    <row r="68" customFormat="false" ht="15" hidden="false" customHeight="false" outlineLevel="0" collapsed="false">
      <c r="A68" s="7" t="n">
        <v>64</v>
      </c>
      <c r="B68" s="8" t="s">
        <v>146</v>
      </c>
      <c r="C68" s="8" t="s">
        <v>132</v>
      </c>
      <c r="D68" s="8" t="s">
        <v>133</v>
      </c>
      <c r="E68" s="7" t="s">
        <v>13</v>
      </c>
      <c r="F68" s="8" t="s">
        <v>147</v>
      </c>
      <c r="G68" s="8" t="s">
        <v>139</v>
      </c>
      <c r="H68" s="8" t="s">
        <v>148</v>
      </c>
    </row>
    <row r="69" customFormat="false" ht="15" hidden="false" customHeight="false" outlineLevel="0" collapsed="false">
      <c r="A69" s="5" t="n">
        <v>65</v>
      </c>
      <c r="B69" s="6" t="s">
        <v>149</v>
      </c>
      <c r="C69" s="6" t="s">
        <v>132</v>
      </c>
      <c r="D69" s="6" t="s">
        <v>133</v>
      </c>
      <c r="E69" s="5" t="s">
        <v>13</v>
      </c>
      <c r="F69" s="6" t="s">
        <v>150</v>
      </c>
      <c r="G69" s="6" t="s">
        <v>139</v>
      </c>
      <c r="H69" s="6" t="s">
        <v>151</v>
      </c>
    </row>
    <row r="70" customFormat="false" ht="15" hidden="false" customHeight="false" outlineLevel="0" collapsed="false">
      <c r="A70" s="7" t="n">
        <v>66</v>
      </c>
      <c r="B70" s="8" t="s">
        <v>152</v>
      </c>
      <c r="C70" s="8" t="s">
        <v>132</v>
      </c>
      <c r="D70" s="8" t="s">
        <v>133</v>
      </c>
      <c r="E70" s="7" t="s">
        <v>13</v>
      </c>
      <c r="F70" s="8" t="s">
        <v>150</v>
      </c>
      <c r="G70" s="8" t="s">
        <v>139</v>
      </c>
      <c r="H70" s="8" t="s">
        <v>151</v>
      </c>
    </row>
    <row r="71" customFormat="false" ht="15" hidden="false" customHeight="false" outlineLevel="0" collapsed="false">
      <c r="A71" s="5" t="n">
        <v>67</v>
      </c>
      <c r="B71" s="6" t="s">
        <v>153</v>
      </c>
      <c r="C71" s="6" t="s">
        <v>154</v>
      </c>
      <c r="D71" s="6" t="s">
        <v>101</v>
      </c>
      <c r="E71" s="5" t="s">
        <v>155</v>
      </c>
      <c r="F71" s="6" t="s">
        <v>101</v>
      </c>
      <c r="G71" s="6" t="s">
        <v>15</v>
      </c>
      <c r="H71" s="6" t="s">
        <v>110</v>
      </c>
    </row>
    <row r="72" customFormat="false" ht="15" hidden="false" customHeight="false" outlineLevel="0" collapsed="false">
      <c r="A72" s="7" t="n">
        <v>68</v>
      </c>
      <c r="B72" s="8" t="s">
        <v>156</v>
      </c>
      <c r="C72" s="8" t="s">
        <v>154</v>
      </c>
      <c r="D72" s="8" t="s">
        <v>101</v>
      </c>
      <c r="E72" s="7" t="s">
        <v>155</v>
      </c>
      <c r="F72" s="8" t="s">
        <v>101</v>
      </c>
      <c r="G72" s="8" t="s">
        <v>15</v>
      </c>
      <c r="H72" s="8" t="s">
        <v>110</v>
      </c>
    </row>
    <row r="73" customFormat="false" ht="15" hidden="false" customHeight="false" outlineLevel="0" collapsed="false">
      <c r="A73" s="5" t="n">
        <v>69</v>
      </c>
      <c r="B73" s="6" t="s">
        <v>124</v>
      </c>
      <c r="C73" s="6" t="s">
        <v>154</v>
      </c>
      <c r="D73" s="6" t="s">
        <v>101</v>
      </c>
      <c r="E73" s="5" t="s">
        <v>155</v>
      </c>
      <c r="F73" s="6" t="s">
        <v>101</v>
      </c>
      <c r="G73" s="6" t="s">
        <v>15</v>
      </c>
      <c r="H73" s="6" t="s">
        <v>62</v>
      </c>
    </row>
    <row r="74" customFormat="false" ht="15" hidden="false" customHeight="false" outlineLevel="0" collapsed="false">
      <c r="A74" s="7" t="n">
        <v>70</v>
      </c>
      <c r="B74" s="8" t="s">
        <v>157</v>
      </c>
      <c r="C74" s="8" t="s">
        <v>154</v>
      </c>
      <c r="D74" s="8" t="s">
        <v>101</v>
      </c>
      <c r="E74" s="7" t="s">
        <v>155</v>
      </c>
      <c r="F74" s="8" t="s">
        <v>101</v>
      </c>
      <c r="G74" s="8" t="s">
        <v>15</v>
      </c>
      <c r="H74" s="8" t="s">
        <v>110</v>
      </c>
    </row>
    <row r="75" customFormat="false" ht="15" hidden="false" customHeight="false" outlineLevel="0" collapsed="false">
      <c r="A75" s="5" t="n">
        <v>71</v>
      </c>
      <c r="B75" s="6" t="s">
        <v>158</v>
      </c>
      <c r="C75" s="6" t="s">
        <v>154</v>
      </c>
      <c r="D75" s="6" t="s">
        <v>39</v>
      </c>
      <c r="E75" s="5" t="s">
        <v>155</v>
      </c>
      <c r="F75" s="6" t="s">
        <v>39</v>
      </c>
      <c r="G75" s="6" t="s">
        <v>50</v>
      </c>
      <c r="H75" s="6" t="s">
        <v>81</v>
      </c>
    </row>
    <row r="76" customFormat="false" ht="15" hidden="false" customHeight="false" outlineLevel="0" collapsed="false">
      <c r="A76" s="7" t="n">
        <v>72</v>
      </c>
      <c r="B76" s="8" t="s">
        <v>159</v>
      </c>
      <c r="C76" s="8" t="s">
        <v>154</v>
      </c>
      <c r="D76" s="8" t="s">
        <v>101</v>
      </c>
      <c r="E76" s="7" t="s">
        <v>155</v>
      </c>
      <c r="F76" s="8" t="s">
        <v>101</v>
      </c>
      <c r="G76" s="8" t="s">
        <v>15</v>
      </c>
      <c r="H76" s="8" t="s">
        <v>110</v>
      </c>
    </row>
    <row r="77" customFormat="false" ht="15" hidden="false" customHeight="false" outlineLevel="0" collapsed="false">
      <c r="A77" s="5" t="n">
        <v>73</v>
      </c>
      <c r="B77" s="6" t="s">
        <v>160</v>
      </c>
      <c r="C77" s="6" t="s">
        <v>154</v>
      </c>
      <c r="D77" s="6" t="s">
        <v>101</v>
      </c>
      <c r="E77" s="5" t="s">
        <v>155</v>
      </c>
      <c r="F77" s="6" t="s">
        <v>101</v>
      </c>
      <c r="G77" s="6" t="s">
        <v>15</v>
      </c>
      <c r="H77" s="6" t="s">
        <v>110</v>
      </c>
    </row>
    <row r="78" customFormat="false" ht="15" hidden="false" customHeight="false" outlineLevel="0" collapsed="false">
      <c r="A78" s="7" t="n">
        <v>74</v>
      </c>
      <c r="B78" s="8" t="s">
        <v>161</v>
      </c>
      <c r="C78" s="8" t="s">
        <v>154</v>
      </c>
      <c r="D78" s="8" t="s">
        <v>39</v>
      </c>
      <c r="E78" s="7" t="s">
        <v>155</v>
      </c>
      <c r="F78" s="8" t="s">
        <v>39</v>
      </c>
      <c r="G78" s="8" t="s">
        <v>162</v>
      </c>
      <c r="H78" s="8" t="s">
        <v>163</v>
      </c>
    </row>
    <row r="79" customFormat="false" ht="15" hidden="false" customHeight="false" outlineLevel="0" collapsed="false">
      <c r="A79" s="5" t="n">
        <v>75</v>
      </c>
      <c r="B79" s="6" t="s">
        <v>164</v>
      </c>
      <c r="C79" s="6" t="s">
        <v>154</v>
      </c>
      <c r="D79" s="6" t="s">
        <v>101</v>
      </c>
      <c r="E79" s="5" t="s">
        <v>155</v>
      </c>
      <c r="F79" s="6" t="s">
        <v>101</v>
      </c>
      <c r="G79" s="6" t="s">
        <v>15</v>
      </c>
      <c r="H79" s="6" t="s">
        <v>110</v>
      </c>
    </row>
    <row r="80" customFormat="false" ht="15" hidden="false" customHeight="false" outlineLevel="0" collapsed="false">
      <c r="A80" s="7" t="n">
        <v>76</v>
      </c>
      <c r="B80" s="8" t="s">
        <v>165</v>
      </c>
      <c r="C80" s="8" t="s">
        <v>154</v>
      </c>
      <c r="D80" s="8" t="s">
        <v>39</v>
      </c>
      <c r="E80" s="7" t="s">
        <v>155</v>
      </c>
      <c r="F80" s="8" t="s">
        <v>39</v>
      </c>
      <c r="G80" s="8" t="s">
        <v>50</v>
      </c>
      <c r="H80" s="8" t="s">
        <v>81</v>
      </c>
    </row>
    <row r="81" customFormat="false" ht="15" hidden="false" customHeight="false" outlineLevel="0" collapsed="false">
      <c r="A81" s="5" t="n">
        <v>77</v>
      </c>
      <c r="B81" s="6" t="s">
        <v>166</v>
      </c>
      <c r="C81" s="6" t="s">
        <v>167</v>
      </c>
      <c r="D81" s="6" t="s">
        <v>168</v>
      </c>
      <c r="E81" s="5" t="s">
        <v>13</v>
      </c>
      <c r="F81" s="6" t="s">
        <v>169</v>
      </c>
      <c r="G81" s="6" t="s">
        <v>170</v>
      </c>
      <c r="H81" s="6" t="s">
        <v>168</v>
      </c>
    </row>
    <row r="82" customFormat="false" ht="15" hidden="false" customHeight="false" outlineLevel="0" collapsed="false">
      <c r="A82" s="7" t="n">
        <v>78</v>
      </c>
      <c r="B82" s="8" t="s">
        <v>171</v>
      </c>
      <c r="C82" s="8" t="s">
        <v>167</v>
      </c>
      <c r="D82" s="8" t="s">
        <v>168</v>
      </c>
      <c r="E82" s="7" t="s">
        <v>13</v>
      </c>
      <c r="F82" s="8" t="s">
        <v>172</v>
      </c>
      <c r="G82" s="8" t="s">
        <v>170</v>
      </c>
      <c r="H82" s="8" t="s">
        <v>168</v>
      </c>
    </row>
    <row r="83" customFormat="false" ht="15" hidden="false" customHeight="false" outlineLevel="0" collapsed="false">
      <c r="A83" s="5" t="n">
        <v>79</v>
      </c>
      <c r="B83" s="6" t="s">
        <v>173</v>
      </c>
      <c r="C83" s="6" t="s">
        <v>174</v>
      </c>
      <c r="D83" s="6" t="s">
        <v>175</v>
      </c>
      <c r="E83" s="5" t="s">
        <v>176</v>
      </c>
      <c r="F83" s="6" t="s">
        <v>177</v>
      </c>
      <c r="G83" s="6" t="s">
        <v>15</v>
      </c>
      <c r="H83" s="6" t="s">
        <v>178</v>
      </c>
    </row>
    <row r="84" customFormat="false" ht="15" hidden="false" customHeight="false" outlineLevel="0" collapsed="false">
      <c r="A84" s="7" t="n">
        <v>80</v>
      </c>
      <c r="B84" s="8" t="s">
        <v>179</v>
      </c>
      <c r="C84" s="8" t="s">
        <v>174</v>
      </c>
      <c r="D84" s="8" t="s">
        <v>175</v>
      </c>
      <c r="E84" s="7" t="s">
        <v>176</v>
      </c>
      <c r="F84" s="8" t="s">
        <v>180</v>
      </c>
      <c r="G84" s="8" t="s">
        <v>15</v>
      </c>
      <c r="H84" s="8" t="s">
        <v>181</v>
      </c>
    </row>
    <row r="85" customFormat="false" ht="15" hidden="false" customHeight="false" outlineLevel="0" collapsed="false">
      <c r="A85" s="5" t="n">
        <v>81</v>
      </c>
      <c r="B85" s="6" t="s">
        <v>182</v>
      </c>
      <c r="C85" s="6" t="s">
        <v>174</v>
      </c>
      <c r="D85" s="6" t="s">
        <v>175</v>
      </c>
      <c r="E85" s="5" t="s">
        <v>183</v>
      </c>
      <c r="F85" s="6" t="s">
        <v>184</v>
      </c>
      <c r="G85" s="6" t="s">
        <v>185</v>
      </c>
      <c r="H85" s="6" t="s">
        <v>186</v>
      </c>
    </row>
    <row r="86" customFormat="false" ht="15" hidden="false" customHeight="false" outlineLevel="0" collapsed="false">
      <c r="A86" s="7" t="n">
        <v>82</v>
      </c>
      <c r="B86" s="8" t="s">
        <v>187</v>
      </c>
      <c r="C86" s="8" t="s">
        <v>174</v>
      </c>
      <c r="D86" s="8" t="s">
        <v>188</v>
      </c>
      <c r="E86" s="7" t="s">
        <v>189</v>
      </c>
      <c r="F86" s="8" t="s">
        <v>190</v>
      </c>
      <c r="G86" s="8" t="s">
        <v>15</v>
      </c>
      <c r="H86" s="8" t="s">
        <v>110</v>
      </c>
    </row>
    <row r="87" customFormat="false" ht="15" hidden="false" customHeight="false" outlineLevel="0" collapsed="false">
      <c r="A87" s="5" t="n">
        <v>83</v>
      </c>
      <c r="B87" s="6" t="s">
        <v>191</v>
      </c>
      <c r="C87" s="6" t="s">
        <v>174</v>
      </c>
      <c r="D87" s="6" t="s">
        <v>188</v>
      </c>
      <c r="E87" s="5" t="s">
        <v>189</v>
      </c>
      <c r="F87" s="6" t="s">
        <v>190</v>
      </c>
      <c r="G87" s="6" t="s">
        <v>15</v>
      </c>
      <c r="H87" s="6" t="s">
        <v>110</v>
      </c>
    </row>
    <row r="88" customFormat="false" ht="15" hidden="false" customHeight="false" outlineLevel="0" collapsed="false">
      <c r="A88" s="7" t="n">
        <v>84</v>
      </c>
      <c r="B88" s="8" t="s">
        <v>192</v>
      </c>
      <c r="C88" s="8" t="s">
        <v>174</v>
      </c>
      <c r="D88" s="8" t="s">
        <v>188</v>
      </c>
      <c r="E88" s="7" t="s">
        <v>189</v>
      </c>
      <c r="F88" s="8" t="s">
        <v>193</v>
      </c>
      <c r="G88" s="8" t="s">
        <v>25</v>
      </c>
      <c r="H88" s="8" t="s">
        <v>55</v>
      </c>
    </row>
    <row r="89" customFormat="false" ht="15" hidden="false" customHeight="false" outlineLevel="0" collapsed="false">
      <c r="A89" s="5" t="n">
        <v>85</v>
      </c>
      <c r="B89" s="6" t="s">
        <v>194</v>
      </c>
      <c r="C89" s="6" t="s">
        <v>174</v>
      </c>
      <c r="D89" s="6" t="s">
        <v>188</v>
      </c>
      <c r="E89" s="5" t="s">
        <v>189</v>
      </c>
      <c r="F89" s="6" t="s">
        <v>193</v>
      </c>
      <c r="G89" s="6" t="s">
        <v>15</v>
      </c>
      <c r="H89" s="6" t="s">
        <v>110</v>
      </c>
    </row>
    <row r="90" customFormat="false" ht="15" hidden="false" customHeight="false" outlineLevel="0" collapsed="false">
      <c r="A90" s="7" t="n">
        <v>86</v>
      </c>
      <c r="B90" s="8" t="s">
        <v>195</v>
      </c>
      <c r="C90" s="8" t="s">
        <v>174</v>
      </c>
      <c r="D90" s="8" t="s">
        <v>188</v>
      </c>
      <c r="E90" s="7" t="s">
        <v>189</v>
      </c>
      <c r="F90" s="8" t="s">
        <v>193</v>
      </c>
      <c r="G90" s="8" t="s">
        <v>15</v>
      </c>
      <c r="H90" s="8" t="s">
        <v>110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5A5A5"/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9"/>
    <col collapsed="false" customWidth="true" hidden="false" outlineLevel="0" max="2" min="2" style="0" width="36"/>
  </cols>
  <sheetData>
    <row r="1" customFormat="false" ht="17.35" hidden="false" customHeight="false" outlineLevel="0" collapsed="false">
      <c r="A1" s="1" t="s">
        <v>196</v>
      </c>
    </row>
    <row r="2" customFormat="false" ht="15" hidden="false" customHeight="false" outlineLevel="0" collapsed="false">
      <c r="A2" s="2" t="s">
        <v>197</v>
      </c>
    </row>
    <row r="4" customFormat="false" ht="15" hidden="false" customHeight="false" outlineLevel="0" collapsed="false">
      <c r="A4" s="4" t="s">
        <v>198</v>
      </c>
      <c r="B4" s="3" t="s">
        <v>199</v>
      </c>
    </row>
    <row r="5" customFormat="false" ht="15" hidden="false" customHeight="false" outlineLevel="0" collapsed="false">
      <c r="A5" s="9" t="s">
        <v>15</v>
      </c>
      <c r="B5" s="10" t="n">
        <f aca="false">COUNTIF('Todos los Integrantes (Web)'!G5:G88, "Grupo de Neurociencia de Sistemas")</f>
        <v>39</v>
      </c>
    </row>
    <row r="6" customFormat="false" ht="15" hidden="false" customHeight="false" outlineLevel="0" collapsed="false">
      <c r="A6" s="11" t="s">
        <v>25</v>
      </c>
      <c r="B6" s="12" t="n">
        <f aca="false">COUNTIF('Todos los Integrantes (Web)'!G5:G88, "Laboratorio de Biomembranas")</f>
        <v>15</v>
      </c>
    </row>
    <row r="7" customFormat="false" ht="15" hidden="false" customHeight="false" outlineLevel="0" collapsed="false">
      <c r="A7" s="9" t="s">
        <v>50</v>
      </c>
      <c r="B7" s="10" t="n">
        <f aca="false">COUNTIF('Todos los Integrantes (Web)'!G5:G88, "Laboratorio de Fisiopatogenia")</f>
        <v>11</v>
      </c>
    </row>
    <row r="8" customFormat="false" ht="15" hidden="false" customHeight="false" outlineLevel="0" collapsed="false">
      <c r="A8" s="11" t="s">
        <v>42</v>
      </c>
      <c r="B8" s="12" t="n">
        <f aca="false">COUNTIF('Todos los Integrantes (Web)'!G5:G88, "Grupo de Pez Cebra")</f>
        <v>2</v>
      </c>
    </row>
    <row r="9" customFormat="false" ht="15" hidden="false" customHeight="false" outlineLevel="0" collapsed="false">
      <c r="A9" s="9" t="s">
        <v>47</v>
      </c>
      <c r="B9" s="10" t="n">
        <f aca="false">COUNTIF('Todos los Integrantes (Web)'!G5:G88, "Laboratorio de Biología de la Reproducción")</f>
        <v>1</v>
      </c>
    </row>
    <row r="10" customFormat="false" ht="15" hidden="false" customHeight="false" outlineLevel="0" collapsed="false">
      <c r="A10" s="11" t="s">
        <v>162</v>
      </c>
      <c r="B10" s="12" t="n">
        <f aca="false">COUNTIF('Todos los Integrantes (Web)'!G5:G88, "Laboratorio de Fisiología Renal")</f>
        <v>1</v>
      </c>
    </row>
    <row r="11" customFormat="false" ht="15" hidden="false" customHeight="false" outlineLevel="0" collapsed="false">
      <c r="A11" s="9" t="s">
        <v>57</v>
      </c>
      <c r="B11" s="10" t="n">
        <f aca="false">COUNTIF('Todos los Integrantes (Web)'!G5:G88, "Laboratorio de Neurofisiopatología")</f>
        <v>1</v>
      </c>
    </row>
    <row r="12" customFormat="false" ht="15" hidden="false" customHeight="false" outlineLevel="0" collapsed="false">
      <c r="A12" s="11" t="s">
        <v>66</v>
      </c>
      <c r="B12" s="12" t="n">
        <f aca="false">COUNTIF('Todos los Integrantes (Web)'!G5:G88, "Laboratorio Neuropsicología de la Performance")</f>
        <v>1</v>
      </c>
    </row>
    <row r="13" customFormat="false" ht="15" hidden="false" customHeight="false" outlineLevel="0" collapsed="false">
      <c r="A13" s="9" t="s">
        <v>185</v>
      </c>
      <c r="B13" s="10" t="n">
        <f aca="false">COUNTIF('Todos los Integrantes (Web)'!G5:G88, "Grupo de Neuropsicología del Neurodesarrollo")</f>
        <v>1</v>
      </c>
    </row>
    <row r="14" customFormat="false" ht="15" hidden="false" customHeight="false" outlineLevel="0" collapsed="false">
      <c r="A14" s="11" t="s">
        <v>200</v>
      </c>
      <c r="B14" s="12" t="n">
        <f aca="false">COUNTIF('Todos los Integrantes (Web)'!G5:G88, "Servicios / Apoyo Técnico") + COUNTIF('Todos los Integrantes (Web)'!G5:G88, "Personal de Apoyo (CPA)")</f>
        <v>9</v>
      </c>
    </row>
    <row r="15" customFormat="false" ht="15" hidden="false" customHeight="false" outlineLevel="0" collapsed="false">
      <c r="A15" s="9" t="s">
        <v>170</v>
      </c>
      <c r="B15" s="10" t="n">
        <f aca="false">COUNTIF('Todos los Integrantes (Web)'!G5:G88, "Gestión y Administración")</f>
        <v>2</v>
      </c>
    </row>
    <row r="16" customFormat="false" ht="15" hidden="false" customHeight="false" outlineLevel="0" collapsed="false">
      <c r="A16" s="13" t="s">
        <v>201</v>
      </c>
      <c r="B16" s="14" t="n">
        <f aca="false">SUM(B5:B15)</f>
        <v>83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65D"/>
    <pageSetUpPr fitToPage="false"/>
  </sheetPr>
  <dimension ref="A1: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3" min="3" style="0" width="4"/>
    <col collapsed="false" customWidth="true" hidden="false" outlineLevel="0" max="4" min="4" style="0" width="42"/>
    <col collapsed="false" customWidth="true" hidden="false" outlineLevel="0" max="5" min="5" style="0" width="12"/>
    <col collapsed="false" customWidth="true" hidden="false" outlineLevel="0" max="6" min="6" style="0" width="4"/>
    <col collapsed="false" customWidth="true" hidden="false" outlineLevel="0" max="7" min="7" style="0" width="48"/>
    <col collapsed="false" customWidth="true" hidden="false" outlineLevel="0" max="8" min="8" style="0" width="12"/>
  </cols>
  <sheetData>
    <row r="1" customFormat="false" ht="28" hidden="false" customHeight="true" outlineLevel="0" collapsed="false">
      <c r="A1" s="15" t="s">
        <v>202</v>
      </c>
      <c r="B1" s="15"/>
      <c r="C1" s="15"/>
      <c r="D1" s="15"/>
      <c r="E1" s="15"/>
      <c r="F1" s="15"/>
      <c r="G1" s="15"/>
      <c r="H1" s="15"/>
    </row>
    <row r="2" customFormat="false" ht="15" hidden="false" customHeight="false" outlineLevel="0" collapsed="false">
      <c r="A2" s="16" t="s">
        <v>203</v>
      </c>
      <c r="B2" s="16"/>
      <c r="C2" s="16"/>
      <c r="D2" s="16"/>
      <c r="E2" s="16"/>
      <c r="F2" s="16"/>
      <c r="G2" s="16"/>
      <c r="H2" s="16"/>
    </row>
    <row r="4" customFormat="false" ht="34" hidden="false" customHeight="true" outlineLevel="0" collapsed="false">
      <c r="A4" s="17" t="s">
        <v>204</v>
      </c>
      <c r="B4" s="17" t="s">
        <v>205</v>
      </c>
      <c r="D4" s="17" t="s">
        <v>206</v>
      </c>
      <c r="E4" s="17" t="s">
        <v>207</v>
      </c>
      <c r="G4" s="17" t="s">
        <v>208</v>
      </c>
      <c r="H4" s="17" t="s">
        <v>207</v>
      </c>
    </row>
    <row r="5" customFormat="false" ht="15" hidden="false" customHeight="false" outlineLevel="0" collapsed="false">
      <c r="A5" s="18" t="s">
        <v>209</v>
      </c>
      <c r="B5" s="18" t="n">
        <v>86</v>
      </c>
      <c r="D5" s="18" t="s">
        <v>15</v>
      </c>
      <c r="E5" s="18" t="n">
        <v>23</v>
      </c>
      <c r="G5" s="18" t="s">
        <v>210</v>
      </c>
      <c r="H5" s="18" t="n">
        <v>19</v>
      </c>
    </row>
    <row r="6" customFormat="false" ht="15" hidden="false" customHeight="false" outlineLevel="0" collapsed="false">
      <c r="A6" s="18" t="s">
        <v>211</v>
      </c>
      <c r="B6" s="18" t="n">
        <v>78</v>
      </c>
      <c r="D6" s="18" t="s">
        <v>25</v>
      </c>
      <c r="E6" s="18" t="n">
        <v>10</v>
      </c>
      <c r="G6" s="18" t="s">
        <v>20</v>
      </c>
      <c r="H6" s="18" t="n">
        <v>5</v>
      </c>
    </row>
    <row r="7" customFormat="false" ht="15" hidden="false" customHeight="false" outlineLevel="0" collapsed="false">
      <c r="A7" s="18" t="s">
        <v>212</v>
      </c>
      <c r="B7" s="18" t="n">
        <v>97</v>
      </c>
      <c r="D7" s="18" t="s">
        <v>139</v>
      </c>
      <c r="E7" s="18" t="n">
        <v>9</v>
      </c>
      <c r="G7" s="18" t="s">
        <v>55</v>
      </c>
      <c r="H7" s="18" t="n">
        <v>4</v>
      </c>
    </row>
    <row r="8" customFormat="false" ht="15" hidden="false" customHeight="false" outlineLevel="0" collapsed="false">
      <c r="A8" s="18" t="s">
        <v>213</v>
      </c>
      <c r="B8" s="18" t="n">
        <v>62</v>
      </c>
      <c r="D8" s="18" t="s">
        <v>50</v>
      </c>
      <c r="E8" s="18" t="n">
        <v>7</v>
      </c>
      <c r="G8" s="18" t="s">
        <v>16</v>
      </c>
      <c r="H8" s="18" t="n">
        <v>4</v>
      </c>
    </row>
    <row r="9" customFormat="false" ht="15" hidden="false" customHeight="false" outlineLevel="0" collapsed="false">
      <c r="A9" s="18" t="s">
        <v>214</v>
      </c>
      <c r="B9" s="18" t="n">
        <v>25</v>
      </c>
      <c r="D9" s="18" t="s">
        <v>42</v>
      </c>
      <c r="E9" s="18" t="n">
        <v>3</v>
      </c>
      <c r="G9" s="18" t="s">
        <v>37</v>
      </c>
      <c r="H9" s="18" t="n">
        <v>3</v>
      </c>
    </row>
    <row r="10" customFormat="false" ht="15" hidden="false" customHeight="false" outlineLevel="0" collapsed="false">
      <c r="A10" s="18" t="s">
        <v>215</v>
      </c>
      <c r="B10" s="18" t="n">
        <v>2</v>
      </c>
      <c r="D10" s="18" t="s">
        <v>47</v>
      </c>
      <c r="E10" s="18" t="n">
        <v>3</v>
      </c>
      <c r="G10" s="18" t="s">
        <v>81</v>
      </c>
      <c r="H10" s="18" t="n">
        <v>3</v>
      </c>
    </row>
    <row r="11" customFormat="false" ht="15" hidden="false" customHeight="false" outlineLevel="0" collapsed="false">
      <c r="A11" s="18" t="s">
        <v>216</v>
      </c>
      <c r="B11" s="18" t="n">
        <v>8</v>
      </c>
      <c r="D11" s="18" t="s">
        <v>162</v>
      </c>
      <c r="E11" s="18" t="n">
        <v>3</v>
      </c>
      <c r="G11" s="18" t="s">
        <v>79</v>
      </c>
      <c r="H11" s="18" t="n">
        <v>2</v>
      </c>
    </row>
    <row r="12" customFormat="false" ht="15" hidden="false" customHeight="false" outlineLevel="0" collapsed="false">
      <c r="A12" s="18" t="s">
        <v>217</v>
      </c>
      <c r="B12" s="18" t="n">
        <v>53</v>
      </c>
      <c r="D12" s="18" t="s">
        <v>170</v>
      </c>
      <c r="E12" s="18" t="n">
        <v>2</v>
      </c>
      <c r="G12" s="18" t="s">
        <v>60</v>
      </c>
      <c r="H12" s="18" t="n">
        <v>2</v>
      </c>
    </row>
    <row r="13" customFormat="false" ht="15" hidden="false" customHeight="false" outlineLevel="0" collapsed="false">
      <c r="D13" s="18" t="s">
        <v>57</v>
      </c>
      <c r="E13" s="18" t="n">
        <v>2</v>
      </c>
      <c r="G13" s="18" t="s">
        <v>62</v>
      </c>
      <c r="H13" s="18" t="n">
        <v>2</v>
      </c>
    </row>
    <row r="14" customFormat="false" ht="15" hidden="false" customHeight="false" outlineLevel="0" collapsed="false">
      <c r="D14" s="18" t="s">
        <v>218</v>
      </c>
      <c r="E14" s="18" t="n">
        <v>2</v>
      </c>
      <c r="G14" s="18" t="s">
        <v>35</v>
      </c>
      <c r="H14" s="18" t="n">
        <v>2</v>
      </c>
    </row>
    <row r="15" customFormat="false" ht="15" hidden="false" customHeight="false" outlineLevel="0" collapsed="false">
      <c r="G15" s="18" t="s">
        <v>26</v>
      </c>
      <c r="H15" s="18" t="n">
        <v>2</v>
      </c>
    </row>
    <row r="16" customFormat="false" ht="15" hidden="false" customHeight="false" outlineLevel="0" collapsed="false">
      <c r="G16" s="18" t="s">
        <v>77</v>
      </c>
      <c r="H16" s="18" t="n">
        <v>1</v>
      </c>
    </row>
    <row r="17" customFormat="false" ht="15" hidden="false" customHeight="false" outlineLevel="0" collapsed="false">
      <c r="G17" s="18" t="s">
        <v>48</v>
      </c>
      <c r="H17" s="18" t="n">
        <v>1</v>
      </c>
    </row>
    <row r="18" customFormat="false" ht="15" hidden="false" customHeight="false" outlineLevel="0" collapsed="false">
      <c r="G18" s="18" t="s">
        <v>186</v>
      </c>
      <c r="H18" s="18" t="n">
        <v>1</v>
      </c>
    </row>
    <row r="19" customFormat="false" ht="15" hidden="false" customHeight="false" outlineLevel="0" collapsed="false">
      <c r="G19" s="18" t="s">
        <v>45</v>
      </c>
      <c r="H19" s="18" t="n">
        <v>1</v>
      </c>
    </row>
    <row r="20" customFormat="false" ht="15" hidden="false" customHeight="false" outlineLevel="0" collapsed="false">
      <c r="G20" s="18" t="s">
        <v>71</v>
      </c>
      <c r="H20" s="18" t="n">
        <v>1</v>
      </c>
    </row>
    <row r="21" customFormat="false" ht="15" hidden="false" customHeight="false" outlineLevel="0" collapsed="false">
      <c r="G21" s="18" t="s">
        <v>104</v>
      </c>
      <c r="H21" s="18" t="n">
        <v>1</v>
      </c>
    </row>
    <row r="22" customFormat="false" ht="15" hidden="false" customHeight="false" outlineLevel="0" collapsed="false">
      <c r="G22" s="18" t="s">
        <v>51</v>
      </c>
      <c r="H22" s="18" t="n">
        <v>1</v>
      </c>
    </row>
    <row r="23" customFormat="false" ht="15" hidden="false" customHeight="false" outlineLevel="0" collapsed="false">
      <c r="G23" s="18" t="s">
        <v>28</v>
      </c>
      <c r="H23" s="18" t="n">
        <v>1</v>
      </c>
    </row>
    <row r="24" customFormat="false" ht="15" hidden="false" customHeight="false" outlineLevel="0" collapsed="false">
      <c r="G24" s="18" t="s">
        <v>83</v>
      </c>
      <c r="H24" s="18" t="n">
        <v>1</v>
      </c>
    </row>
    <row r="25" customFormat="false" ht="15" hidden="false" customHeight="false" outlineLevel="0" collapsed="false">
      <c r="G25" s="18" t="s">
        <v>53</v>
      </c>
      <c r="H25" s="18" t="n">
        <v>1</v>
      </c>
    </row>
    <row r="26" customFormat="false" ht="15" hidden="false" customHeight="false" outlineLevel="0" collapsed="false">
      <c r="G26" s="18" t="s">
        <v>43</v>
      </c>
      <c r="H26" s="18" t="n">
        <v>1</v>
      </c>
    </row>
    <row r="27" customFormat="false" ht="15" hidden="false" customHeight="false" outlineLevel="0" collapsed="false">
      <c r="G27" s="18" t="s">
        <v>85</v>
      </c>
      <c r="H27" s="18" t="n">
        <v>1</v>
      </c>
    </row>
    <row r="28" customFormat="false" ht="15" hidden="false" customHeight="false" outlineLevel="0" collapsed="false">
      <c r="G28" s="18" t="s">
        <v>58</v>
      </c>
      <c r="H28" s="18" t="n">
        <v>1</v>
      </c>
    </row>
    <row r="29" customFormat="false" ht="15" hidden="false" customHeight="false" outlineLevel="0" collapsed="false">
      <c r="G29" s="18" t="s">
        <v>67</v>
      </c>
      <c r="H29" s="18" t="n">
        <v>1</v>
      </c>
    </row>
    <row r="30" customFormat="false" ht="15" hidden="false" customHeight="false" outlineLevel="0" collapsed="false">
      <c r="G30" s="18" t="s">
        <v>75</v>
      </c>
      <c r="H30" s="18" t="n">
        <v>1</v>
      </c>
    </row>
    <row r="31" customFormat="false" ht="15" hidden="false" customHeight="false" outlineLevel="0" collapsed="false">
      <c r="G31" s="18" t="s">
        <v>107</v>
      </c>
      <c r="H31" s="18" t="n">
        <v>1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U1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24"/>
    <col collapsed="false" customWidth="true" hidden="false" outlineLevel="0" max="5" min="5" style="0" width="30"/>
    <col collapsed="false" customWidth="true" hidden="false" outlineLevel="0" max="6" min="6" style="0" width="34"/>
    <col collapsed="false" customWidth="true" hidden="false" outlineLevel="0" max="7" min="7" style="0" width="23"/>
    <col collapsed="false" customWidth="true" hidden="false" outlineLevel="0" max="8" min="8" style="0" width="22"/>
    <col collapsed="false" customWidth="true" hidden="false" outlineLevel="0" max="9" min="9" style="0" width="58"/>
    <col collapsed="false" customWidth="true" hidden="false" outlineLevel="0" max="11" min="10" style="0" width="30"/>
    <col collapsed="false" customWidth="true" hidden="false" outlineLevel="0" max="12" min="12" style="0" width="23"/>
    <col collapsed="false" customWidth="true" hidden="false" outlineLevel="0" max="13" min="13" style="0" width="20"/>
    <col collapsed="false" customWidth="true" hidden="false" outlineLevel="0" max="14" min="14" style="0" width="26"/>
    <col collapsed="false" customWidth="true" hidden="false" outlineLevel="0" max="15" min="15" style="0" width="31"/>
    <col collapsed="false" customWidth="true" hidden="false" outlineLevel="0" max="16" min="16" style="0" width="36"/>
    <col collapsed="false" customWidth="true" hidden="false" outlineLevel="0" max="18" min="17" style="0" width="43"/>
    <col collapsed="false" customWidth="true" hidden="false" outlineLevel="0" max="19" min="19" style="0" width="45"/>
    <col collapsed="false" customWidth="true" hidden="false" outlineLevel="0" max="20" min="20" style="0" width="13"/>
    <col collapsed="false" customWidth="true" hidden="false" outlineLevel="0" max="21" min="21" style="0" width="55"/>
  </cols>
  <sheetData>
    <row r="1" customFormat="false" ht="28" hidden="false" customHeight="true" outlineLevel="0" collapsed="false">
      <c r="A1" s="15" t="s">
        <v>219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2" customFormat="false" ht="15" hidden="false" customHeight="false" outlineLevel="0" collapsed="false">
      <c r="A2" s="16" t="s">
        <v>220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4" customFormat="false" ht="34" hidden="false" customHeight="true" outlineLevel="0" collapsed="false">
      <c r="A4" s="17" t="s">
        <v>221</v>
      </c>
      <c r="B4" s="17" t="s">
        <v>222</v>
      </c>
      <c r="C4" s="17" t="s">
        <v>223</v>
      </c>
      <c r="D4" s="17" t="s">
        <v>224</v>
      </c>
      <c r="E4" s="17" t="s">
        <v>225</v>
      </c>
      <c r="F4" s="17" t="s">
        <v>226</v>
      </c>
      <c r="G4" s="17" t="s">
        <v>227</v>
      </c>
      <c r="H4" s="17" t="s">
        <v>228</v>
      </c>
      <c r="I4" s="17" t="s">
        <v>229</v>
      </c>
      <c r="J4" s="17" t="s">
        <v>230</v>
      </c>
      <c r="K4" s="17" t="s">
        <v>231</v>
      </c>
      <c r="L4" s="17" t="s">
        <v>232</v>
      </c>
      <c r="M4" s="17" t="s">
        <v>233</v>
      </c>
      <c r="N4" s="17" t="s">
        <v>234</v>
      </c>
      <c r="O4" s="17" t="s">
        <v>235</v>
      </c>
      <c r="P4" s="17" t="s">
        <v>236</v>
      </c>
      <c r="Q4" s="17" t="s">
        <v>237</v>
      </c>
      <c r="R4" s="17" t="s">
        <v>238</v>
      </c>
      <c r="S4" s="17" t="s">
        <v>239</v>
      </c>
      <c r="T4" s="17" t="s">
        <v>240</v>
      </c>
      <c r="U4" s="17" t="s">
        <v>241</v>
      </c>
    </row>
    <row r="5" customFormat="false" ht="32.8" hidden="false" customHeight="false" outlineLevel="0" collapsed="false">
      <c r="A5" s="18" t="s">
        <v>242</v>
      </c>
      <c r="B5" s="18" t="s">
        <v>243</v>
      </c>
      <c r="C5" s="18" t="s">
        <v>244</v>
      </c>
      <c r="D5" s="18" t="s">
        <v>245</v>
      </c>
      <c r="E5" s="18" t="s">
        <v>139</v>
      </c>
      <c r="F5" s="18"/>
      <c r="G5" s="18"/>
      <c r="H5" s="18" t="s">
        <v>246</v>
      </c>
      <c r="I5" s="18"/>
      <c r="J5" s="18" t="s">
        <v>152</v>
      </c>
      <c r="K5" s="18" t="s">
        <v>132</v>
      </c>
      <c r="L5" s="18" t="s">
        <v>133</v>
      </c>
      <c r="M5" s="18" t="s">
        <v>13</v>
      </c>
      <c r="N5" s="18" t="s">
        <v>150</v>
      </c>
      <c r="O5" s="18" t="s">
        <v>139</v>
      </c>
      <c r="P5" s="18" t="s">
        <v>151</v>
      </c>
      <c r="Q5" s="18" t="s">
        <v>247</v>
      </c>
      <c r="R5" s="18"/>
      <c r="S5" s="18" t="s">
        <v>248</v>
      </c>
      <c r="T5" s="18" t="s">
        <v>249</v>
      </c>
      <c r="U5" s="18"/>
    </row>
    <row r="6" customFormat="false" ht="43.25" hidden="false" customHeight="false" outlineLevel="0" collapsed="false">
      <c r="A6" s="18" t="s">
        <v>250</v>
      </c>
      <c r="B6" s="18" t="s">
        <v>243</v>
      </c>
      <c r="C6" s="18" t="s">
        <v>251</v>
      </c>
      <c r="D6" s="18" t="s">
        <v>252</v>
      </c>
      <c r="E6" s="18" t="s">
        <v>15</v>
      </c>
      <c r="F6" s="18" t="s">
        <v>186</v>
      </c>
      <c r="G6" s="18"/>
      <c r="H6" s="18"/>
      <c r="I6" s="18" t="s">
        <v>253</v>
      </c>
      <c r="J6" s="18" t="s">
        <v>182</v>
      </c>
      <c r="K6" s="18" t="s">
        <v>174</v>
      </c>
      <c r="L6" s="18" t="s">
        <v>175</v>
      </c>
      <c r="M6" s="18" t="s">
        <v>183</v>
      </c>
      <c r="N6" s="18" t="s">
        <v>184</v>
      </c>
      <c r="O6" s="18" t="s">
        <v>185</v>
      </c>
      <c r="P6" s="18" t="s">
        <v>186</v>
      </c>
      <c r="Q6" s="18"/>
      <c r="R6" s="18" t="s">
        <v>254</v>
      </c>
      <c r="S6" s="18" t="s">
        <v>255</v>
      </c>
      <c r="T6" s="18" t="s">
        <v>249</v>
      </c>
      <c r="U6" s="18" t="s">
        <v>256</v>
      </c>
    </row>
    <row r="7" customFormat="false" ht="22.35" hidden="false" customHeight="false" outlineLevel="0" collapsed="false">
      <c r="A7" s="18" t="s">
        <v>257</v>
      </c>
      <c r="B7" s="18" t="s">
        <v>243</v>
      </c>
      <c r="C7" s="18" t="s">
        <v>251</v>
      </c>
      <c r="D7" s="18" t="s">
        <v>177</v>
      </c>
      <c r="E7" s="18" t="s">
        <v>47</v>
      </c>
      <c r="F7" s="18" t="s">
        <v>48</v>
      </c>
      <c r="G7" s="18" t="s">
        <v>257</v>
      </c>
      <c r="H7" s="18"/>
      <c r="I7" s="18"/>
      <c r="J7" s="18" t="s">
        <v>46</v>
      </c>
      <c r="K7" s="18" t="s">
        <v>38</v>
      </c>
      <c r="L7" s="18" t="s">
        <v>39</v>
      </c>
      <c r="M7" s="18" t="s">
        <v>13</v>
      </c>
      <c r="N7" s="18" t="s">
        <v>41</v>
      </c>
      <c r="O7" s="18" t="s">
        <v>47</v>
      </c>
      <c r="P7" s="18" t="s">
        <v>48</v>
      </c>
      <c r="Q7" s="18" t="s">
        <v>258</v>
      </c>
      <c r="R7" s="18" t="s">
        <v>259</v>
      </c>
      <c r="S7" s="18" t="s">
        <v>255</v>
      </c>
      <c r="T7" s="18" t="s">
        <v>249</v>
      </c>
      <c r="U7" s="18"/>
    </row>
    <row r="8" customFormat="false" ht="22.35" hidden="false" customHeight="false" outlineLevel="0" collapsed="false">
      <c r="A8" s="18" t="s">
        <v>260</v>
      </c>
      <c r="B8" s="18" t="s">
        <v>243</v>
      </c>
      <c r="C8" s="18" t="s">
        <v>251</v>
      </c>
      <c r="D8" s="18" t="s">
        <v>261</v>
      </c>
      <c r="E8" s="18" t="s">
        <v>57</v>
      </c>
      <c r="F8" s="18"/>
      <c r="G8" s="18" t="s">
        <v>262</v>
      </c>
      <c r="H8" s="18"/>
      <c r="I8" s="18"/>
      <c r="J8" s="18"/>
      <c r="K8" s="18"/>
      <c r="L8" s="18"/>
      <c r="M8" s="18"/>
      <c r="N8" s="18"/>
      <c r="O8" s="18"/>
      <c r="P8" s="18"/>
      <c r="Q8" s="18" t="s">
        <v>263</v>
      </c>
      <c r="R8" s="18" t="s">
        <v>264</v>
      </c>
      <c r="S8" s="18" t="s">
        <v>255</v>
      </c>
      <c r="T8" s="18" t="s">
        <v>249</v>
      </c>
      <c r="U8" s="18" t="s">
        <v>265</v>
      </c>
    </row>
    <row r="9" customFormat="false" ht="22.35" hidden="false" customHeight="false" outlineLevel="0" collapsed="false">
      <c r="A9" s="18" t="s">
        <v>266</v>
      </c>
      <c r="B9" s="18" t="s">
        <v>243</v>
      </c>
      <c r="C9" s="18" t="s">
        <v>267</v>
      </c>
      <c r="D9" s="18" t="s">
        <v>268</v>
      </c>
      <c r="E9" s="18" t="s">
        <v>25</v>
      </c>
      <c r="F9" s="18" t="s">
        <v>26</v>
      </c>
      <c r="G9" s="18" t="s">
        <v>269</v>
      </c>
      <c r="H9" s="18"/>
      <c r="I9" s="18"/>
      <c r="J9" s="18" t="s">
        <v>99</v>
      </c>
      <c r="K9" s="18" t="s">
        <v>100</v>
      </c>
      <c r="L9" s="18" t="s">
        <v>101</v>
      </c>
      <c r="M9" s="18" t="s">
        <v>13</v>
      </c>
      <c r="N9" s="18" t="s">
        <v>102</v>
      </c>
      <c r="O9" s="18" t="s">
        <v>25</v>
      </c>
      <c r="P9" s="18" t="s">
        <v>55</v>
      </c>
      <c r="Q9" s="18"/>
      <c r="R9" s="18"/>
      <c r="S9" s="18" t="s">
        <v>270</v>
      </c>
      <c r="T9" s="18" t="s">
        <v>249</v>
      </c>
      <c r="U9" s="18"/>
    </row>
    <row r="10" customFormat="false" ht="32.8" hidden="false" customHeight="false" outlineLevel="0" collapsed="false">
      <c r="A10" s="18" t="s">
        <v>271</v>
      </c>
      <c r="B10" s="18" t="s">
        <v>243</v>
      </c>
      <c r="C10" s="18" t="s">
        <v>244</v>
      </c>
      <c r="D10" s="18" t="s">
        <v>272</v>
      </c>
      <c r="E10" s="18" t="s">
        <v>139</v>
      </c>
      <c r="F10" s="18"/>
      <c r="G10" s="18"/>
      <c r="H10" s="18" t="s">
        <v>273</v>
      </c>
      <c r="I10" s="18"/>
      <c r="J10" s="18" t="s">
        <v>146</v>
      </c>
      <c r="K10" s="18" t="s">
        <v>132</v>
      </c>
      <c r="L10" s="18" t="s">
        <v>133</v>
      </c>
      <c r="M10" s="18" t="s">
        <v>13</v>
      </c>
      <c r="N10" s="18" t="s">
        <v>147</v>
      </c>
      <c r="O10" s="18" t="s">
        <v>139</v>
      </c>
      <c r="P10" s="18" t="s">
        <v>148</v>
      </c>
      <c r="Q10" s="18" t="s">
        <v>274</v>
      </c>
      <c r="R10" s="18"/>
      <c r="S10" s="18" t="s">
        <v>248</v>
      </c>
      <c r="T10" s="18" t="s">
        <v>249</v>
      </c>
      <c r="U10" s="18"/>
    </row>
    <row r="11" customFormat="false" ht="22.35" hidden="false" customHeight="false" outlineLevel="0" collapsed="false">
      <c r="A11" s="18" t="s">
        <v>275</v>
      </c>
      <c r="B11" s="18" t="s">
        <v>243</v>
      </c>
      <c r="C11" s="18" t="s">
        <v>251</v>
      </c>
      <c r="D11" s="18" t="s">
        <v>261</v>
      </c>
      <c r="E11" s="18" t="s">
        <v>15</v>
      </c>
      <c r="F11" s="18" t="s">
        <v>20</v>
      </c>
      <c r="G11" s="18" t="s">
        <v>276</v>
      </c>
      <c r="H11" s="18"/>
      <c r="I11" s="18"/>
      <c r="J11" s="18" t="s">
        <v>92</v>
      </c>
      <c r="K11" s="18" t="s">
        <v>38</v>
      </c>
      <c r="L11" s="18" t="s">
        <v>39</v>
      </c>
      <c r="M11" s="18" t="s">
        <v>13</v>
      </c>
      <c r="N11" s="18" t="s">
        <v>87</v>
      </c>
      <c r="O11" s="18" t="s">
        <v>15</v>
      </c>
      <c r="P11" s="18" t="s">
        <v>93</v>
      </c>
      <c r="Q11" s="18" t="s">
        <v>277</v>
      </c>
      <c r="R11" s="18" t="s">
        <v>278</v>
      </c>
      <c r="S11" s="18" t="s">
        <v>255</v>
      </c>
      <c r="T11" s="18" t="s">
        <v>249</v>
      </c>
      <c r="U11" s="18"/>
    </row>
    <row r="12" customFormat="false" ht="22.35" hidden="false" customHeight="false" outlineLevel="0" collapsed="false">
      <c r="A12" s="18" t="s">
        <v>279</v>
      </c>
      <c r="B12" s="18" t="s">
        <v>243</v>
      </c>
      <c r="C12" s="18" t="s">
        <v>244</v>
      </c>
      <c r="D12" s="18" t="s">
        <v>280</v>
      </c>
      <c r="E12" s="18" t="s">
        <v>139</v>
      </c>
      <c r="F12" s="18"/>
      <c r="G12" s="18"/>
      <c r="H12" s="18" t="s">
        <v>281</v>
      </c>
      <c r="I12" s="18"/>
      <c r="J12" s="18" t="s">
        <v>131</v>
      </c>
      <c r="K12" s="18" t="s">
        <v>132</v>
      </c>
      <c r="L12" s="18" t="s">
        <v>133</v>
      </c>
      <c r="M12" s="18" t="s">
        <v>13</v>
      </c>
      <c r="N12" s="18" t="s">
        <v>134</v>
      </c>
      <c r="O12" s="18" t="s">
        <v>135</v>
      </c>
      <c r="P12" s="18" t="s">
        <v>136</v>
      </c>
      <c r="Q12" s="18" t="s">
        <v>282</v>
      </c>
      <c r="R12" s="18"/>
      <c r="S12" s="18" t="s">
        <v>248</v>
      </c>
      <c r="T12" s="18" t="s">
        <v>249</v>
      </c>
      <c r="U12" s="18"/>
    </row>
    <row r="13" customFormat="false" ht="22.35" hidden="false" customHeight="false" outlineLevel="0" collapsed="false">
      <c r="A13" s="18" t="s">
        <v>283</v>
      </c>
      <c r="B13" s="18" t="s">
        <v>243</v>
      </c>
      <c r="C13" s="18" t="s">
        <v>251</v>
      </c>
      <c r="D13" s="18" t="s">
        <v>284</v>
      </c>
      <c r="E13" s="18" t="s">
        <v>15</v>
      </c>
      <c r="F13" s="18" t="s">
        <v>85</v>
      </c>
      <c r="G13" s="18" t="s">
        <v>283</v>
      </c>
      <c r="H13" s="18"/>
      <c r="I13" s="18"/>
      <c r="J13" s="18" t="s">
        <v>84</v>
      </c>
      <c r="K13" s="18" t="s">
        <v>38</v>
      </c>
      <c r="L13" s="18" t="s">
        <v>39</v>
      </c>
      <c r="M13" s="18" t="s">
        <v>13</v>
      </c>
      <c r="N13" s="18" t="s">
        <v>24</v>
      </c>
      <c r="O13" s="18" t="s">
        <v>15</v>
      </c>
      <c r="P13" s="18" t="s">
        <v>85</v>
      </c>
      <c r="Q13" s="18"/>
      <c r="R13" s="18" t="s">
        <v>285</v>
      </c>
      <c r="S13" s="18" t="s">
        <v>255</v>
      </c>
      <c r="T13" s="18" t="s">
        <v>249</v>
      </c>
      <c r="U13" s="18" t="s">
        <v>286</v>
      </c>
    </row>
    <row r="14" customFormat="false" ht="32.8" hidden="false" customHeight="false" outlineLevel="0" collapsed="false">
      <c r="A14" s="18" t="s">
        <v>287</v>
      </c>
      <c r="B14" s="18" t="s">
        <v>243</v>
      </c>
      <c r="C14" s="18" t="s">
        <v>267</v>
      </c>
      <c r="D14" s="18" t="s">
        <v>288</v>
      </c>
      <c r="E14" s="18" t="s">
        <v>15</v>
      </c>
      <c r="F14" s="18" t="s">
        <v>20</v>
      </c>
      <c r="G14" s="18" t="s">
        <v>276</v>
      </c>
      <c r="H14" s="18"/>
      <c r="I14" s="18"/>
      <c r="J14" s="18"/>
      <c r="K14" s="18"/>
      <c r="L14" s="18"/>
      <c r="M14" s="18"/>
      <c r="N14" s="18"/>
      <c r="O14" s="18"/>
      <c r="P14" s="18"/>
      <c r="Q14" s="18" t="s">
        <v>289</v>
      </c>
      <c r="R14" s="18"/>
      <c r="S14" s="18" t="s">
        <v>270</v>
      </c>
      <c r="T14" s="18" t="s">
        <v>249</v>
      </c>
      <c r="U14" s="18" t="s">
        <v>265</v>
      </c>
    </row>
    <row r="15" customFormat="false" ht="22.35" hidden="false" customHeight="false" outlineLevel="0" collapsed="false">
      <c r="A15" s="18" t="s">
        <v>290</v>
      </c>
      <c r="B15" s="18" t="s">
        <v>243</v>
      </c>
      <c r="C15" s="18" t="s">
        <v>267</v>
      </c>
      <c r="D15" s="18" t="s">
        <v>291</v>
      </c>
      <c r="E15" s="18" t="s">
        <v>15</v>
      </c>
      <c r="F15" s="18" t="s">
        <v>20</v>
      </c>
      <c r="G15" s="18" t="s">
        <v>276</v>
      </c>
      <c r="H15" s="18"/>
      <c r="I15" s="18"/>
      <c r="J15" s="18" t="s">
        <v>191</v>
      </c>
      <c r="K15" s="18" t="s">
        <v>174</v>
      </c>
      <c r="L15" s="18" t="s">
        <v>188</v>
      </c>
      <c r="M15" s="18" t="s">
        <v>189</v>
      </c>
      <c r="N15" s="18" t="s">
        <v>190</v>
      </c>
      <c r="O15" s="18" t="s">
        <v>15</v>
      </c>
      <c r="P15" s="18" t="s">
        <v>110</v>
      </c>
      <c r="Q15" s="18"/>
      <c r="R15" s="18"/>
      <c r="S15" s="18" t="s">
        <v>270</v>
      </c>
      <c r="T15" s="18" t="s">
        <v>249</v>
      </c>
      <c r="U15" s="18"/>
    </row>
    <row r="16" customFormat="false" ht="32.8" hidden="false" customHeight="false" outlineLevel="0" collapsed="false">
      <c r="A16" s="18" t="s">
        <v>292</v>
      </c>
      <c r="B16" s="18" t="s">
        <v>243</v>
      </c>
      <c r="C16" s="18" t="s">
        <v>251</v>
      </c>
      <c r="D16" s="18" t="s">
        <v>293</v>
      </c>
      <c r="E16" s="18" t="s">
        <v>15</v>
      </c>
      <c r="F16" s="18" t="s">
        <v>16</v>
      </c>
      <c r="G16" s="18" t="s">
        <v>294</v>
      </c>
      <c r="H16" s="18"/>
      <c r="I16" s="18"/>
      <c r="J16" s="18" t="s">
        <v>89</v>
      </c>
      <c r="K16" s="18" t="s">
        <v>38</v>
      </c>
      <c r="L16" s="18" t="s">
        <v>39</v>
      </c>
      <c r="M16" s="18" t="s">
        <v>13</v>
      </c>
      <c r="N16" s="18" t="s">
        <v>87</v>
      </c>
      <c r="O16" s="18" t="s">
        <v>15</v>
      </c>
      <c r="P16" s="18" t="s">
        <v>16</v>
      </c>
      <c r="Q16" s="18" t="s">
        <v>295</v>
      </c>
      <c r="R16" s="18" t="s">
        <v>296</v>
      </c>
      <c r="S16" s="18" t="s">
        <v>255</v>
      </c>
      <c r="T16" s="18" t="s">
        <v>249</v>
      </c>
      <c r="U16" s="18"/>
    </row>
    <row r="17" customFormat="false" ht="22.35" hidden="false" customHeight="false" outlineLevel="0" collapsed="false">
      <c r="A17" s="18" t="s">
        <v>297</v>
      </c>
      <c r="B17" s="18" t="s">
        <v>243</v>
      </c>
      <c r="C17" s="18" t="s">
        <v>251</v>
      </c>
      <c r="D17" s="18" t="s">
        <v>177</v>
      </c>
      <c r="E17" s="18" t="s">
        <v>25</v>
      </c>
      <c r="F17" s="18" t="s">
        <v>45</v>
      </c>
      <c r="G17" s="18" t="s">
        <v>297</v>
      </c>
      <c r="H17" s="18"/>
      <c r="I17" s="18"/>
      <c r="J17" s="18" t="s">
        <v>44</v>
      </c>
      <c r="K17" s="18" t="s">
        <v>38</v>
      </c>
      <c r="L17" s="18" t="s">
        <v>39</v>
      </c>
      <c r="M17" s="18" t="s">
        <v>13</v>
      </c>
      <c r="N17" s="18" t="s">
        <v>41</v>
      </c>
      <c r="O17" s="18" t="s">
        <v>25</v>
      </c>
      <c r="P17" s="18" t="s">
        <v>45</v>
      </c>
      <c r="Q17" s="18" t="s">
        <v>298</v>
      </c>
      <c r="R17" s="18" t="s">
        <v>299</v>
      </c>
      <c r="S17" s="18" t="s">
        <v>255</v>
      </c>
      <c r="T17" s="18" t="s">
        <v>249</v>
      </c>
      <c r="U17" s="18"/>
    </row>
    <row r="18" customFormat="false" ht="22.35" hidden="false" customHeight="false" outlineLevel="0" collapsed="false">
      <c r="A18" s="18" t="s">
        <v>300</v>
      </c>
      <c r="B18" s="18" t="s">
        <v>243</v>
      </c>
      <c r="C18" s="18" t="s">
        <v>251</v>
      </c>
      <c r="D18" s="18" t="s">
        <v>252</v>
      </c>
      <c r="E18" s="18" t="s">
        <v>162</v>
      </c>
      <c r="F18" s="18"/>
      <c r="G18" s="18" t="s">
        <v>300</v>
      </c>
      <c r="H18" s="18"/>
      <c r="I18" s="18"/>
      <c r="J18" s="18" t="s">
        <v>161</v>
      </c>
      <c r="K18" s="18" t="s">
        <v>154</v>
      </c>
      <c r="L18" s="18" t="s">
        <v>39</v>
      </c>
      <c r="M18" s="18" t="s">
        <v>155</v>
      </c>
      <c r="N18" s="18" t="s">
        <v>39</v>
      </c>
      <c r="O18" s="18" t="s">
        <v>162</v>
      </c>
      <c r="P18" s="18" t="s">
        <v>163</v>
      </c>
      <c r="Q18" s="18" t="s">
        <v>301</v>
      </c>
      <c r="R18" s="18" t="s">
        <v>302</v>
      </c>
      <c r="S18" s="18" t="s">
        <v>255</v>
      </c>
      <c r="T18" s="18" t="s">
        <v>249</v>
      </c>
      <c r="U18" s="18"/>
    </row>
    <row r="19" customFormat="false" ht="22.35" hidden="false" customHeight="false" outlineLevel="0" collapsed="false">
      <c r="A19" s="18" t="s">
        <v>303</v>
      </c>
      <c r="B19" s="18" t="s">
        <v>243</v>
      </c>
      <c r="C19" s="18" t="s">
        <v>251</v>
      </c>
      <c r="D19" s="18" t="s">
        <v>304</v>
      </c>
      <c r="E19" s="18" t="s">
        <v>50</v>
      </c>
      <c r="F19" s="18"/>
      <c r="G19" s="18" t="s">
        <v>303</v>
      </c>
      <c r="H19" s="18"/>
      <c r="I19" s="18"/>
      <c r="J19" s="18" t="s">
        <v>94</v>
      </c>
      <c r="K19" s="18" t="s">
        <v>95</v>
      </c>
      <c r="L19" s="18" t="s">
        <v>96</v>
      </c>
      <c r="M19" s="18" t="s">
        <v>13</v>
      </c>
      <c r="N19" s="18" t="s">
        <v>97</v>
      </c>
      <c r="O19" s="18" t="s">
        <v>50</v>
      </c>
      <c r="P19" s="18" t="s">
        <v>98</v>
      </c>
      <c r="Q19" s="18"/>
      <c r="R19" s="18" t="s">
        <v>305</v>
      </c>
      <c r="S19" s="18" t="s">
        <v>255</v>
      </c>
      <c r="T19" s="18" t="s">
        <v>249</v>
      </c>
      <c r="U19" s="18"/>
    </row>
    <row r="20" customFormat="false" ht="32.8" hidden="false" customHeight="false" outlineLevel="0" collapsed="false">
      <c r="A20" s="18" t="s">
        <v>306</v>
      </c>
      <c r="B20" s="18" t="s">
        <v>243</v>
      </c>
      <c r="C20" s="18" t="s">
        <v>267</v>
      </c>
      <c r="D20" s="18" t="s">
        <v>307</v>
      </c>
      <c r="E20" s="18" t="s">
        <v>25</v>
      </c>
      <c r="F20" s="18" t="s">
        <v>55</v>
      </c>
      <c r="G20" s="18" t="s">
        <v>297</v>
      </c>
      <c r="H20" s="18"/>
      <c r="I20" s="18"/>
      <c r="J20" s="18" t="s">
        <v>126</v>
      </c>
      <c r="K20" s="18" t="s">
        <v>100</v>
      </c>
      <c r="L20" s="18" t="s">
        <v>101</v>
      </c>
      <c r="M20" s="18" t="s">
        <v>13</v>
      </c>
      <c r="N20" s="18" t="s">
        <v>123</v>
      </c>
      <c r="O20" s="18" t="s">
        <v>25</v>
      </c>
      <c r="P20" s="18" t="s">
        <v>55</v>
      </c>
      <c r="Q20" s="18" t="s">
        <v>308</v>
      </c>
      <c r="R20" s="18"/>
      <c r="S20" s="18" t="s">
        <v>270</v>
      </c>
      <c r="T20" s="18" t="s">
        <v>249</v>
      </c>
      <c r="U20" s="18"/>
    </row>
    <row r="21" customFormat="false" ht="32.8" hidden="false" customHeight="false" outlineLevel="0" collapsed="false">
      <c r="A21" s="18" t="s">
        <v>309</v>
      </c>
      <c r="B21" s="18" t="s">
        <v>243</v>
      </c>
      <c r="C21" s="18" t="s">
        <v>267</v>
      </c>
      <c r="D21" s="18" t="s">
        <v>291</v>
      </c>
      <c r="E21" s="18" t="s">
        <v>50</v>
      </c>
      <c r="F21" s="18" t="s">
        <v>107</v>
      </c>
      <c r="G21" s="18" t="s">
        <v>303</v>
      </c>
      <c r="H21" s="18"/>
      <c r="I21" s="18"/>
      <c r="J21" s="18" t="s">
        <v>105</v>
      </c>
      <c r="K21" s="18" t="s">
        <v>100</v>
      </c>
      <c r="L21" s="18" t="s">
        <v>101</v>
      </c>
      <c r="M21" s="18" t="s">
        <v>13</v>
      </c>
      <c r="N21" s="18" t="s">
        <v>106</v>
      </c>
      <c r="O21" s="18" t="s">
        <v>50</v>
      </c>
      <c r="P21" s="18" t="s">
        <v>107</v>
      </c>
      <c r="Q21" s="18" t="s">
        <v>310</v>
      </c>
      <c r="R21" s="18"/>
      <c r="S21" s="18" t="s">
        <v>270</v>
      </c>
      <c r="T21" s="18" t="s">
        <v>249</v>
      </c>
      <c r="U21" s="18"/>
    </row>
    <row r="22" customFormat="false" ht="32.8" hidden="false" customHeight="false" outlineLevel="0" collapsed="false">
      <c r="A22" s="18" t="s">
        <v>311</v>
      </c>
      <c r="B22" s="18" t="s">
        <v>243</v>
      </c>
      <c r="C22" s="18" t="s">
        <v>251</v>
      </c>
      <c r="D22" s="18" t="s">
        <v>180</v>
      </c>
      <c r="E22" s="18" t="s">
        <v>15</v>
      </c>
      <c r="F22" s="18" t="s">
        <v>79</v>
      </c>
      <c r="G22" s="18" t="s">
        <v>311</v>
      </c>
      <c r="H22" s="18"/>
      <c r="I22" s="18"/>
      <c r="J22" s="18" t="s">
        <v>78</v>
      </c>
      <c r="K22" s="18" t="s">
        <v>38</v>
      </c>
      <c r="L22" s="18" t="s">
        <v>39</v>
      </c>
      <c r="M22" s="18" t="s">
        <v>13</v>
      </c>
      <c r="N22" s="18" t="s">
        <v>24</v>
      </c>
      <c r="O22" s="18" t="s">
        <v>15</v>
      </c>
      <c r="P22" s="18" t="s">
        <v>79</v>
      </c>
      <c r="Q22" s="18" t="s">
        <v>312</v>
      </c>
      <c r="R22" s="18" t="s">
        <v>313</v>
      </c>
      <c r="S22" s="18" t="s">
        <v>255</v>
      </c>
      <c r="T22" s="18" t="s">
        <v>249</v>
      </c>
      <c r="U22" s="18"/>
    </row>
    <row r="23" customFormat="false" ht="22.35" hidden="false" customHeight="false" outlineLevel="0" collapsed="false">
      <c r="A23" s="18" t="s">
        <v>314</v>
      </c>
      <c r="B23" s="18" t="s">
        <v>243</v>
      </c>
      <c r="C23" s="18" t="s">
        <v>251</v>
      </c>
      <c r="D23" s="18" t="s">
        <v>252</v>
      </c>
      <c r="E23" s="18" t="s">
        <v>50</v>
      </c>
      <c r="F23" s="18" t="s">
        <v>81</v>
      </c>
      <c r="G23" s="18" t="s">
        <v>303</v>
      </c>
      <c r="H23" s="18"/>
      <c r="I23" s="18"/>
      <c r="J23" s="18" t="s">
        <v>165</v>
      </c>
      <c r="K23" s="18" t="s">
        <v>154</v>
      </c>
      <c r="L23" s="18" t="s">
        <v>39</v>
      </c>
      <c r="M23" s="18" t="s">
        <v>155</v>
      </c>
      <c r="N23" s="18" t="s">
        <v>39</v>
      </c>
      <c r="O23" s="18" t="s">
        <v>50</v>
      </c>
      <c r="P23" s="18" t="s">
        <v>81</v>
      </c>
      <c r="Q23" s="18"/>
      <c r="R23" s="18" t="s">
        <v>305</v>
      </c>
      <c r="S23" s="18" t="s">
        <v>255</v>
      </c>
      <c r="T23" s="18" t="s">
        <v>249</v>
      </c>
      <c r="U23" s="18"/>
    </row>
    <row r="24" customFormat="false" ht="43.25" hidden="false" customHeight="false" outlineLevel="0" collapsed="false">
      <c r="A24" s="18" t="s">
        <v>315</v>
      </c>
      <c r="B24" s="18" t="s">
        <v>243</v>
      </c>
      <c r="C24" s="18" t="s">
        <v>244</v>
      </c>
      <c r="D24" s="18" t="s">
        <v>316</v>
      </c>
      <c r="E24" s="18" t="s">
        <v>139</v>
      </c>
      <c r="F24" s="18"/>
      <c r="G24" s="18"/>
      <c r="H24" s="18" t="s">
        <v>317</v>
      </c>
      <c r="I24" s="18" t="s">
        <v>253</v>
      </c>
      <c r="J24" s="18" t="s">
        <v>137</v>
      </c>
      <c r="K24" s="18" t="s">
        <v>132</v>
      </c>
      <c r="L24" s="18" t="s">
        <v>133</v>
      </c>
      <c r="M24" s="18" t="s">
        <v>13</v>
      </c>
      <c r="N24" s="18" t="s">
        <v>138</v>
      </c>
      <c r="O24" s="18" t="s">
        <v>139</v>
      </c>
      <c r="P24" s="18" t="s">
        <v>140</v>
      </c>
      <c r="Q24" s="18"/>
      <c r="R24" s="18" t="s">
        <v>254</v>
      </c>
      <c r="S24" s="18" t="s">
        <v>248</v>
      </c>
      <c r="T24" s="18" t="s">
        <v>249</v>
      </c>
      <c r="U24" s="18"/>
    </row>
    <row r="25" customFormat="false" ht="32.8" hidden="false" customHeight="false" outlineLevel="0" collapsed="false">
      <c r="A25" s="18" t="s">
        <v>318</v>
      </c>
      <c r="B25" s="18" t="s">
        <v>243</v>
      </c>
      <c r="C25" s="18" t="s">
        <v>251</v>
      </c>
      <c r="D25" s="18" t="s">
        <v>293</v>
      </c>
      <c r="E25" s="18" t="s">
        <v>15</v>
      </c>
      <c r="F25" s="18" t="s">
        <v>16</v>
      </c>
      <c r="G25" s="18" t="s">
        <v>294</v>
      </c>
      <c r="H25" s="18"/>
      <c r="I25" s="18"/>
      <c r="J25" s="18" t="s">
        <v>63</v>
      </c>
      <c r="K25" s="18" t="s">
        <v>38</v>
      </c>
      <c r="L25" s="18" t="s">
        <v>39</v>
      </c>
      <c r="M25" s="18" t="s">
        <v>13</v>
      </c>
      <c r="N25" s="18" t="s">
        <v>24</v>
      </c>
      <c r="O25" s="18" t="s">
        <v>15</v>
      </c>
      <c r="P25" s="18" t="s">
        <v>64</v>
      </c>
      <c r="Q25" s="18" t="s">
        <v>319</v>
      </c>
      <c r="R25" s="18" t="s">
        <v>296</v>
      </c>
      <c r="S25" s="18" t="s">
        <v>255</v>
      </c>
      <c r="T25" s="18" t="s">
        <v>249</v>
      </c>
      <c r="U25" s="18" t="s">
        <v>286</v>
      </c>
    </row>
    <row r="26" customFormat="false" ht="22.35" hidden="false" customHeight="false" outlineLevel="0" collapsed="false">
      <c r="A26" s="18" t="s">
        <v>320</v>
      </c>
      <c r="B26" s="18" t="s">
        <v>243</v>
      </c>
      <c r="C26" s="18" t="s">
        <v>251</v>
      </c>
      <c r="D26" s="18" t="s">
        <v>321</v>
      </c>
      <c r="E26" s="18" t="s">
        <v>50</v>
      </c>
      <c r="F26" s="18" t="s">
        <v>81</v>
      </c>
      <c r="G26" s="18" t="s">
        <v>303</v>
      </c>
      <c r="H26" s="18"/>
      <c r="I26" s="18"/>
      <c r="J26" s="18" t="s">
        <v>158</v>
      </c>
      <c r="K26" s="18" t="s">
        <v>154</v>
      </c>
      <c r="L26" s="18" t="s">
        <v>39</v>
      </c>
      <c r="M26" s="18" t="s">
        <v>155</v>
      </c>
      <c r="N26" s="18" t="s">
        <v>39</v>
      </c>
      <c r="O26" s="18" t="s">
        <v>50</v>
      </c>
      <c r="P26" s="18" t="s">
        <v>81</v>
      </c>
      <c r="Q26" s="18" t="s">
        <v>322</v>
      </c>
      <c r="R26" s="18" t="s">
        <v>305</v>
      </c>
      <c r="S26" s="18" t="s">
        <v>255</v>
      </c>
      <c r="T26" s="18" t="s">
        <v>249</v>
      </c>
      <c r="U26" s="18"/>
    </row>
    <row r="27" customFormat="false" ht="32.8" hidden="false" customHeight="false" outlineLevel="0" collapsed="false">
      <c r="A27" s="18" t="s">
        <v>323</v>
      </c>
      <c r="B27" s="18" t="s">
        <v>243</v>
      </c>
      <c r="C27" s="18" t="s">
        <v>267</v>
      </c>
      <c r="D27" s="18" t="s">
        <v>291</v>
      </c>
      <c r="E27" s="18" t="s">
        <v>50</v>
      </c>
      <c r="F27" s="18" t="s">
        <v>104</v>
      </c>
      <c r="G27" s="18" t="s">
        <v>303</v>
      </c>
      <c r="H27" s="18"/>
      <c r="I27" s="18"/>
      <c r="J27" s="18" t="s">
        <v>103</v>
      </c>
      <c r="K27" s="18" t="s">
        <v>100</v>
      </c>
      <c r="L27" s="18" t="s">
        <v>101</v>
      </c>
      <c r="M27" s="18" t="s">
        <v>13</v>
      </c>
      <c r="N27" s="18" t="s">
        <v>102</v>
      </c>
      <c r="O27" s="18" t="s">
        <v>50</v>
      </c>
      <c r="P27" s="18" t="s">
        <v>104</v>
      </c>
      <c r="Q27" s="18" t="s">
        <v>324</v>
      </c>
      <c r="R27" s="18"/>
      <c r="S27" s="18" t="s">
        <v>270</v>
      </c>
      <c r="T27" s="18" t="s">
        <v>249</v>
      </c>
      <c r="U27" s="18"/>
    </row>
    <row r="28" customFormat="false" ht="22.35" hidden="false" customHeight="false" outlineLevel="0" collapsed="false">
      <c r="A28" s="18" t="s">
        <v>325</v>
      </c>
      <c r="B28" s="18" t="s">
        <v>243</v>
      </c>
      <c r="C28" s="18" t="s">
        <v>251</v>
      </c>
      <c r="D28" s="18" t="s">
        <v>321</v>
      </c>
      <c r="E28" s="18" t="s">
        <v>162</v>
      </c>
      <c r="F28" s="18"/>
      <c r="G28" s="18" t="s">
        <v>300</v>
      </c>
      <c r="H28" s="18"/>
      <c r="I28" s="18"/>
      <c r="J28" s="18"/>
      <c r="K28" s="18"/>
      <c r="L28" s="18"/>
      <c r="M28" s="18"/>
      <c r="N28" s="18"/>
      <c r="O28" s="18"/>
      <c r="P28" s="18"/>
      <c r="Q28" s="18" t="s">
        <v>326</v>
      </c>
      <c r="R28" s="18" t="s">
        <v>302</v>
      </c>
      <c r="S28" s="18" t="s">
        <v>255</v>
      </c>
      <c r="T28" s="18" t="s">
        <v>249</v>
      </c>
      <c r="U28" s="18" t="s">
        <v>265</v>
      </c>
    </row>
    <row r="29" customFormat="false" ht="32.8" hidden="false" customHeight="false" outlineLevel="0" collapsed="false">
      <c r="A29" s="18" t="s">
        <v>327</v>
      </c>
      <c r="B29" s="18" t="s">
        <v>243</v>
      </c>
      <c r="C29" s="18" t="s">
        <v>251</v>
      </c>
      <c r="D29" s="18" t="s">
        <v>180</v>
      </c>
      <c r="E29" s="18" t="s">
        <v>15</v>
      </c>
      <c r="F29" s="18" t="s">
        <v>37</v>
      </c>
      <c r="G29" s="18" t="s">
        <v>327</v>
      </c>
      <c r="H29" s="18"/>
      <c r="I29" s="18"/>
      <c r="J29" s="18" t="s">
        <v>36</v>
      </c>
      <c r="K29" s="18" t="s">
        <v>328</v>
      </c>
      <c r="L29" s="18" t="s">
        <v>329</v>
      </c>
      <c r="M29" s="18" t="s">
        <v>13</v>
      </c>
      <c r="N29" s="18" t="s">
        <v>24</v>
      </c>
      <c r="O29" s="18" t="s">
        <v>15</v>
      </c>
      <c r="P29" s="18" t="s">
        <v>37</v>
      </c>
      <c r="Q29" s="18" t="s">
        <v>330</v>
      </c>
      <c r="R29" s="18" t="s">
        <v>331</v>
      </c>
      <c r="S29" s="18" t="s">
        <v>255</v>
      </c>
      <c r="T29" s="18" t="s">
        <v>249</v>
      </c>
      <c r="U29" s="18" t="s">
        <v>332</v>
      </c>
    </row>
    <row r="30" customFormat="false" ht="22.35" hidden="false" customHeight="false" outlineLevel="0" collapsed="false">
      <c r="A30" s="18" t="s">
        <v>333</v>
      </c>
      <c r="B30" s="18" t="s">
        <v>243</v>
      </c>
      <c r="C30" s="18" t="s">
        <v>251</v>
      </c>
      <c r="D30" s="18" t="s">
        <v>334</v>
      </c>
      <c r="E30" s="18" t="s">
        <v>50</v>
      </c>
      <c r="F30" s="18" t="s">
        <v>81</v>
      </c>
      <c r="G30" s="18" t="s">
        <v>303</v>
      </c>
      <c r="H30" s="18"/>
      <c r="I30" s="18"/>
      <c r="J30" s="18" t="s">
        <v>80</v>
      </c>
      <c r="K30" s="18" t="s">
        <v>38</v>
      </c>
      <c r="L30" s="18" t="s">
        <v>39</v>
      </c>
      <c r="M30" s="18" t="s">
        <v>13</v>
      </c>
      <c r="N30" s="18" t="s">
        <v>24</v>
      </c>
      <c r="O30" s="18" t="s">
        <v>50</v>
      </c>
      <c r="P30" s="18" t="s">
        <v>81</v>
      </c>
      <c r="Q30" s="18"/>
      <c r="R30" s="18" t="s">
        <v>305</v>
      </c>
      <c r="S30" s="18" t="s">
        <v>255</v>
      </c>
      <c r="T30" s="18" t="s">
        <v>249</v>
      </c>
      <c r="U30" s="18"/>
    </row>
    <row r="31" customFormat="false" ht="43.25" hidden="false" customHeight="false" outlineLevel="0" collapsed="false">
      <c r="A31" s="18" t="s">
        <v>335</v>
      </c>
      <c r="B31" s="18" t="s">
        <v>243</v>
      </c>
      <c r="C31" s="18" t="s">
        <v>267</v>
      </c>
      <c r="D31" s="18" t="s">
        <v>307</v>
      </c>
      <c r="E31" s="18" t="s">
        <v>15</v>
      </c>
      <c r="F31" s="18" t="s">
        <v>60</v>
      </c>
      <c r="G31" s="18" t="s">
        <v>336</v>
      </c>
      <c r="H31" s="18"/>
      <c r="I31" s="18" t="s">
        <v>253</v>
      </c>
      <c r="J31" s="18" t="s">
        <v>164</v>
      </c>
      <c r="K31" s="18" t="s">
        <v>154</v>
      </c>
      <c r="L31" s="18" t="s">
        <v>101</v>
      </c>
      <c r="M31" s="18" t="s">
        <v>155</v>
      </c>
      <c r="N31" s="18" t="s">
        <v>101</v>
      </c>
      <c r="O31" s="18" t="s">
        <v>15</v>
      </c>
      <c r="P31" s="18" t="s">
        <v>110</v>
      </c>
      <c r="Q31" s="18"/>
      <c r="R31" s="18" t="s">
        <v>254</v>
      </c>
      <c r="S31" s="18" t="s">
        <v>270</v>
      </c>
      <c r="T31" s="18" t="s">
        <v>249</v>
      </c>
      <c r="U31" s="18"/>
    </row>
    <row r="32" customFormat="false" ht="32.8" hidden="false" customHeight="false" outlineLevel="0" collapsed="false">
      <c r="A32" s="18" t="s">
        <v>337</v>
      </c>
      <c r="B32" s="18" t="s">
        <v>243</v>
      </c>
      <c r="C32" s="18" t="s">
        <v>244</v>
      </c>
      <c r="D32" s="18" t="s">
        <v>338</v>
      </c>
      <c r="E32" s="18" t="s">
        <v>139</v>
      </c>
      <c r="F32" s="18"/>
      <c r="G32" s="18"/>
      <c r="H32" s="18" t="s">
        <v>339</v>
      </c>
      <c r="I32" s="18"/>
      <c r="J32" s="18" t="s">
        <v>144</v>
      </c>
      <c r="K32" s="18" t="s">
        <v>132</v>
      </c>
      <c r="L32" s="18" t="s">
        <v>133</v>
      </c>
      <c r="M32" s="18" t="s">
        <v>13</v>
      </c>
      <c r="N32" s="18" t="s">
        <v>31</v>
      </c>
      <c r="O32" s="18" t="s">
        <v>139</v>
      </c>
      <c r="P32" s="18" t="s">
        <v>33</v>
      </c>
      <c r="Q32" s="18" t="s">
        <v>340</v>
      </c>
      <c r="R32" s="18"/>
      <c r="S32" s="18" t="s">
        <v>248</v>
      </c>
      <c r="T32" s="18" t="s">
        <v>249</v>
      </c>
      <c r="U32" s="18"/>
    </row>
    <row r="33" customFormat="false" ht="32.8" hidden="false" customHeight="false" outlineLevel="0" collapsed="false">
      <c r="A33" s="18" t="s">
        <v>341</v>
      </c>
      <c r="B33" s="18" t="s">
        <v>243</v>
      </c>
      <c r="C33" s="18" t="s">
        <v>251</v>
      </c>
      <c r="D33" s="18" t="s">
        <v>334</v>
      </c>
      <c r="E33" s="18" t="s">
        <v>25</v>
      </c>
      <c r="F33" s="18" t="s">
        <v>28</v>
      </c>
      <c r="G33" s="18" t="s">
        <v>341</v>
      </c>
      <c r="H33" s="18"/>
      <c r="I33" s="18"/>
      <c r="J33" s="18" t="s">
        <v>27</v>
      </c>
      <c r="K33" s="18" t="s">
        <v>328</v>
      </c>
      <c r="L33" s="18" t="s">
        <v>329</v>
      </c>
      <c r="M33" s="18" t="s">
        <v>13</v>
      </c>
      <c r="N33" s="18" t="s">
        <v>24</v>
      </c>
      <c r="O33" s="18" t="s">
        <v>25</v>
      </c>
      <c r="P33" s="18" t="s">
        <v>28</v>
      </c>
      <c r="Q33" s="18" t="s">
        <v>342</v>
      </c>
      <c r="R33" s="18" t="s">
        <v>299</v>
      </c>
      <c r="S33" s="18" t="s">
        <v>255</v>
      </c>
      <c r="T33" s="18" t="s">
        <v>249</v>
      </c>
      <c r="U33" s="18" t="s">
        <v>332</v>
      </c>
    </row>
    <row r="34" customFormat="false" ht="32.8" hidden="false" customHeight="false" outlineLevel="0" collapsed="false">
      <c r="A34" s="18" t="s">
        <v>294</v>
      </c>
      <c r="B34" s="18" t="s">
        <v>243</v>
      </c>
      <c r="C34" s="18" t="s">
        <v>251</v>
      </c>
      <c r="D34" s="18" t="s">
        <v>343</v>
      </c>
      <c r="E34" s="18" t="s">
        <v>15</v>
      </c>
      <c r="F34" s="18" t="s">
        <v>16</v>
      </c>
      <c r="G34" s="18" t="s">
        <v>294</v>
      </c>
      <c r="H34" s="18"/>
      <c r="I34" s="18"/>
      <c r="J34" s="18" t="s">
        <v>10</v>
      </c>
      <c r="K34" s="18" t="s">
        <v>344</v>
      </c>
      <c r="L34" s="18" t="s">
        <v>345</v>
      </c>
      <c r="M34" s="18" t="s">
        <v>13</v>
      </c>
      <c r="N34" s="18" t="s">
        <v>14</v>
      </c>
      <c r="O34" s="18" t="s">
        <v>15</v>
      </c>
      <c r="P34" s="18" t="s">
        <v>16</v>
      </c>
      <c r="Q34" s="18" t="s">
        <v>346</v>
      </c>
      <c r="R34" s="18" t="s">
        <v>296</v>
      </c>
      <c r="S34" s="18" t="s">
        <v>255</v>
      </c>
      <c r="T34" s="18" t="s">
        <v>249</v>
      </c>
      <c r="U34" s="18" t="s">
        <v>332</v>
      </c>
    </row>
    <row r="35" customFormat="false" ht="32.8" hidden="false" customHeight="false" outlineLevel="0" collapsed="false">
      <c r="A35" s="18" t="s">
        <v>347</v>
      </c>
      <c r="B35" s="18" t="s">
        <v>243</v>
      </c>
      <c r="C35" s="18" t="s">
        <v>267</v>
      </c>
      <c r="D35" s="18" t="s">
        <v>348</v>
      </c>
      <c r="E35" s="18" t="s">
        <v>15</v>
      </c>
      <c r="F35" s="18" t="s">
        <v>35</v>
      </c>
      <c r="G35" s="18" t="s">
        <v>349</v>
      </c>
      <c r="H35" s="18"/>
      <c r="I35" s="18"/>
      <c r="J35" s="18"/>
      <c r="K35" s="18"/>
      <c r="L35" s="18"/>
      <c r="M35" s="18"/>
      <c r="N35" s="18"/>
      <c r="O35" s="18"/>
      <c r="P35" s="18"/>
      <c r="Q35" s="18" t="s">
        <v>350</v>
      </c>
      <c r="R35" s="18"/>
      <c r="S35" s="18" t="s">
        <v>270</v>
      </c>
      <c r="T35" s="18" t="s">
        <v>249</v>
      </c>
      <c r="U35" s="18" t="s">
        <v>265</v>
      </c>
    </row>
    <row r="36" customFormat="false" ht="22.35" hidden="false" customHeight="false" outlineLevel="0" collapsed="false">
      <c r="A36" s="18" t="s">
        <v>351</v>
      </c>
      <c r="B36" s="18" t="s">
        <v>243</v>
      </c>
      <c r="C36" s="18" t="s">
        <v>267</v>
      </c>
      <c r="D36" s="18" t="s">
        <v>348</v>
      </c>
      <c r="E36" s="18" t="s">
        <v>15</v>
      </c>
      <c r="F36" s="18" t="s">
        <v>62</v>
      </c>
      <c r="G36" s="18" t="s">
        <v>352</v>
      </c>
      <c r="H36" s="18"/>
      <c r="I36" s="18"/>
      <c r="J36" s="18" t="s">
        <v>124</v>
      </c>
      <c r="K36" s="18" t="s">
        <v>353</v>
      </c>
      <c r="L36" s="18" t="s">
        <v>101</v>
      </c>
      <c r="M36" s="18" t="s">
        <v>354</v>
      </c>
      <c r="N36" s="18" t="s">
        <v>355</v>
      </c>
      <c r="O36" s="18" t="s">
        <v>15</v>
      </c>
      <c r="P36" s="18" t="s">
        <v>356</v>
      </c>
      <c r="Q36" s="18" t="s">
        <v>357</v>
      </c>
      <c r="R36" s="18"/>
      <c r="S36" s="18" t="s">
        <v>270</v>
      </c>
      <c r="T36" s="18" t="s">
        <v>249</v>
      </c>
      <c r="U36" s="18" t="s">
        <v>332</v>
      </c>
    </row>
    <row r="37" customFormat="false" ht="32.8" hidden="false" customHeight="false" outlineLevel="0" collapsed="false">
      <c r="A37" s="18" t="s">
        <v>262</v>
      </c>
      <c r="B37" s="18" t="s">
        <v>243</v>
      </c>
      <c r="C37" s="18" t="s">
        <v>251</v>
      </c>
      <c r="D37" s="18" t="s">
        <v>358</v>
      </c>
      <c r="E37" s="18" t="s">
        <v>57</v>
      </c>
      <c r="F37" s="18" t="s">
        <v>58</v>
      </c>
      <c r="G37" s="18" t="s">
        <v>262</v>
      </c>
      <c r="H37" s="18"/>
      <c r="I37" s="18"/>
      <c r="J37" s="18" t="s">
        <v>56</v>
      </c>
      <c r="K37" s="18" t="s">
        <v>38</v>
      </c>
      <c r="L37" s="18" t="s">
        <v>39</v>
      </c>
      <c r="M37" s="18" t="s">
        <v>13</v>
      </c>
      <c r="N37" s="18" t="s">
        <v>19</v>
      </c>
      <c r="O37" s="18" t="s">
        <v>57</v>
      </c>
      <c r="P37" s="18" t="s">
        <v>58</v>
      </c>
      <c r="Q37" s="18" t="s">
        <v>359</v>
      </c>
      <c r="R37" s="18" t="s">
        <v>264</v>
      </c>
      <c r="S37" s="18" t="s">
        <v>255</v>
      </c>
      <c r="T37" s="18" t="s">
        <v>249</v>
      </c>
      <c r="U37" s="18"/>
    </row>
    <row r="38" customFormat="false" ht="32.8" hidden="false" customHeight="false" outlineLevel="0" collapsed="false">
      <c r="A38" s="18" t="s">
        <v>276</v>
      </c>
      <c r="B38" s="18" t="s">
        <v>243</v>
      </c>
      <c r="C38" s="18" t="s">
        <v>251</v>
      </c>
      <c r="D38" s="18" t="s">
        <v>360</v>
      </c>
      <c r="E38" s="18" t="s">
        <v>15</v>
      </c>
      <c r="F38" s="18" t="s">
        <v>20</v>
      </c>
      <c r="G38" s="18" t="s">
        <v>276</v>
      </c>
      <c r="H38" s="18"/>
      <c r="I38" s="18"/>
      <c r="J38" s="18" t="s">
        <v>17</v>
      </c>
      <c r="K38" s="18" t="s">
        <v>344</v>
      </c>
      <c r="L38" s="18" t="s">
        <v>361</v>
      </c>
      <c r="M38" s="18" t="s">
        <v>13</v>
      </c>
      <c r="N38" s="18" t="s">
        <v>19</v>
      </c>
      <c r="O38" s="18" t="s">
        <v>15</v>
      </c>
      <c r="P38" s="18" t="s">
        <v>20</v>
      </c>
      <c r="Q38" s="18" t="s">
        <v>362</v>
      </c>
      <c r="R38" s="18" t="s">
        <v>278</v>
      </c>
      <c r="S38" s="18" t="s">
        <v>255</v>
      </c>
      <c r="T38" s="18" t="s">
        <v>249</v>
      </c>
      <c r="U38" s="18" t="s">
        <v>332</v>
      </c>
    </row>
    <row r="39" customFormat="false" ht="32.8" hidden="false" customHeight="false" outlineLevel="0" collapsed="false">
      <c r="A39" s="18" t="s">
        <v>363</v>
      </c>
      <c r="B39" s="18" t="s">
        <v>243</v>
      </c>
      <c r="C39" s="18" t="s">
        <v>244</v>
      </c>
      <c r="D39" s="18" t="s">
        <v>364</v>
      </c>
      <c r="E39" s="18" t="s">
        <v>139</v>
      </c>
      <c r="F39" s="18"/>
      <c r="G39" s="18"/>
      <c r="H39" s="18" t="s">
        <v>365</v>
      </c>
      <c r="I39" s="18"/>
      <c r="J39" s="18" t="s">
        <v>141</v>
      </c>
      <c r="K39" s="18" t="s">
        <v>132</v>
      </c>
      <c r="L39" s="18" t="s">
        <v>133</v>
      </c>
      <c r="M39" s="18" t="s">
        <v>13</v>
      </c>
      <c r="N39" s="18" t="s">
        <v>142</v>
      </c>
      <c r="O39" s="18" t="s">
        <v>139</v>
      </c>
      <c r="P39" s="18" t="s">
        <v>143</v>
      </c>
      <c r="Q39" s="18" t="s">
        <v>366</v>
      </c>
      <c r="R39" s="18"/>
      <c r="S39" s="18" t="s">
        <v>248</v>
      </c>
      <c r="T39" s="18" t="s">
        <v>249</v>
      </c>
      <c r="U39" s="18"/>
    </row>
    <row r="40" customFormat="false" ht="22.35" hidden="false" customHeight="false" outlineLevel="0" collapsed="false">
      <c r="A40" s="18" t="s">
        <v>367</v>
      </c>
      <c r="B40" s="18" t="s">
        <v>243</v>
      </c>
      <c r="C40" s="18" t="s">
        <v>267</v>
      </c>
      <c r="D40" s="18" t="s">
        <v>368</v>
      </c>
      <c r="E40" s="18" t="s">
        <v>25</v>
      </c>
      <c r="F40" s="18"/>
      <c r="G40" s="18" t="s">
        <v>297</v>
      </c>
      <c r="H40" s="18"/>
      <c r="I40" s="18"/>
      <c r="J40" s="18"/>
      <c r="K40" s="18"/>
      <c r="L40" s="18"/>
      <c r="M40" s="18"/>
      <c r="N40" s="18"/>
      <c r="O40" s="18"/>
      <c r="P40" s="18"/>
      <c r="Q40" s="18" t="s">
        <v>369</v>
      </c>
      <c r="R40" s="18"/>
      <c r="S40" s="18" t="s">
        <v>270</v>
      </c>
      <c r="T40" s="18" t="s">
        <v>249</v>
      </c>
      <c r="U40" s="18" t="s">
        <v>265</v>
      </c>
    </row>
    <row r="41" customFormat="false" ht="32.8" hidden="false" customHeight="false" outlineLevel="0" collapsed="false">
      <c r="A41" s="18" t="s">
        <v>370</v>
      </c>
      <c r="B41" s="18" t="s">
        <v>243</v>
      </c>
      <c r="C41" s="18" t="s">
        <v>267</v>
      </c>
      <c r="D41" s="18" t="s">
        <v>371</v>
      </c>
      <c r="E41" s="18" t="s">
        <v>42</v>
      </c>
      <c r="F41" s="18"/>
      <c r="G41" s="18"/>
      <c r="H41" s="18"/>
      <c r="I41" s="18"/>
      <c r="J41" s="18" t="s">
        <v>127</v>
      </c>
      <c r="K41" s="18" t="s">
        <v>100</v>
      </c>
      <c r="L41" s="18" t="s">
        <v>101</v>
      </c>
      <c r="M41" s="18" t="s">
        <v>13</v>
      </c>
      <c r="N41" s="18" t="s">
        <v>123</v>
      </c>
      <c r="O41" s="18" t="s">
        <v>15</v>
      </c>
      <c r="P41" s="18" t="s">
        <v>110</v>
      </c>
      <c r="Q41" s="18" t="s">
        <v>372</v>
      </c>
      <c r="R41" s="18"/>
      <c r="S41" s="18" t="s">
        <v>270</v>
      </c>
      <c r="T41" s="18" t="s">
        <v>249</v>
      </c>
      <c r="U41" s="18" t="s">
        <v>256</v>
      </c>
    </row>
    <row r="42" customFormat="false" ht="32.8" hidden="false" customHeight="false" outlineLevel="0" collapsed="false">
      <c r="A42" s="18" t="s">
        <v>373</v>
      </c>
      <c r="B42" s="18" t="s">
        <v>243</v>
      </c>
      <c r="C42" s="18" t="s">
        <v>251</v>
      </c>
      <c r="D42" s="18" t="s">
        <v>293</v>
      </c>
      <c r="E42" s="18" t="s">
        <v>15</v>
      </c>
      <c r="F42" s="18" t="s">
        <v>37</v>
      </c>
      <c r="G42" s="18" t="s">
        <v>327</v>
      </c>
      <c r="H42" s="18"/>
      <c r="I42" s="18"/>
      <c r="J42" s="18" t="s">
        <v>90</v>
      </c>
      <c r="K42" s="18" t="s">
        <v>38</v>
      </c>
      <c r="L42" s="18" t="s">
        <v>39</v>
      </c>
      <c r="M42" s="18" t="s">
        <v>13</v>
      </c>
      <c r="N42" s="18" t="s">
        <v>87</v>
      </c>
      <c r="O42" s="18" t="s">
        <v>15</v>
      </c>
      <c r="P42" s="18" t="s">
        <v>91</v>
      </c>
      <c r="Q42" s="18" t="s">
        <v>374</v>
      </c>
      <c r="R42" s="18" t="s">
        <v>331</v>
      </c>
      <c r="S42" s="18" t="s">
        <v>255</v>
      </c>
      <c r="T42" s="18" t="s">
        <v>249</v>
      </c>
      <c r="U42" s="18"/>
    </row>
    <row r="43" customFormat="false" ht="22.35" hidden="false" customHeight="false" outlineLevel="0" collapsed="false">
      <c r="A43" s="18" t="s">
        <v>336</v>
      </c>
      <c r="B43" s="18" t="s">
        <v>243</v>
      </c>
      <c r="C43" s="18" t="s">
        <v>251</v>
      </c>
      <c r="D43" s="18" t="s">
        <v>358</v>
      </c>
      <c r="E43" s="18" t="s">
        <v>15</v>
      </c>
      <c r="F43" s="18" t="s">
        <v>60</v>
      </c>
      <c r="G43" s="18" t="s">
        <v>336</v>
      </c>
      <c r="H43" s="18"/>
      <c r="I43" s="18"/>
      <c r="J43" s="18" t="s">
        <v>59</v>
      </c>
      <c r="K43" s="18" t="s">
        <v>38</v>
      </c>
      <c r="L43" s="18" t="s">
        <v>39</v>
      </c>
      <c r="M43" s="18" t="s">
        <v>13</v>
      </c>
      <c r="N43" s="18" t="s">
        <v>19</v>
      </c>
      <c r="O43" s="18" t="s">
        <v>15</v>
      </c>
      <c r="P43" s="18" t="s">
        <v>60</v>
      </c>
      <c r="Q43" s="18" t="s">
        <v>375</v>
      </c>
      <c r="R43" s="18" t="s">
        <v>376</v>
      </c>
      <c r="S43" s="18" t="s">
        <v>255</v>
      </c>
      <c r="T43" s="18" t="s">
        <v>249</v>
      </c>
      <c r="U43" s="18"/>
    </row>
    <row r="44" customFormat="false" ht="32.8" hidden="false" customHeight="false" outlineLevel="0" collapsed="false">
      <c r="A44" s="18" t="s">
        <v>352</v>
      </c>
      <c r="B44" s="18" t="s">
        <v>243</v>
      </c>
      <c r="C44" s="18" t="s">
        <v>251</v>
      </c>
      <c r="D44" s="18" t="s">
        <v>377</v>
      </c>
      <c r="E44" s="18" t="s">
        <v>15</v>
      </c>
      <c r="F44" s="18" t="s">
        <v>62</v>
      </c>
      <c r="G44" s="18" t="s">
        <v>352</v>
      </c>
      <c r="H44" s="18"/>
      <c r="I44" s="18"/>
      <c r="J44" s="18" t="s">
        <v>61</v>
      </c>
      <c r="K44" s="18" t="s">
        <v>38</v>
      </c>
      <c r="L44" s="18" t="s">
        <v>39</v>
      </c>
      <c r="M44" s="18" t="s">
        <v>13</v>
      </c>
      <c r="N44" s="18" t="s">
        <v>19</v>
      </c>
      <c r="O44" s="18" t="s">
        <v>15</v>
      </c>
      <c r="P44" s="18" t="s">
        <v>62</v>
      </c>
      <c r="Q44" s="18" t="s">
        <v>378</v>
      </c>
      <c r="R44" s="18" t="s">
        <v>379</v>
      </c>
      <c r="S44" s="18" t="s">
        <v>255</v>
      </c>
      <c r="T44" s="18" t="s">
        <v>249</v>
      </c>
      <c r="U44" s="18"/>
    </row>
    <row r="45" customFormat="false" ht="32.8" hidden="false" customHeight="false" outlineLevel="0" collapsed="false">
      <c r="A45" s="18" t="s">
        <v>380</v>
      </c>
      <c r="B45" s="18" t="s">
        <v>243</v>
      </c>
      <c r="C45" s="18" t="s">
        <v>244</v>
      </c>
      <c r="D45" s="18" t="s">
        <v>245</v>
      </c>
      <c r="E45" s="18" t="s">
        <v>139</v>
      </c>
      <c r="F45" s="18"/>
      <c r="G45" s="18"/>
      <c r="H45" s="18" t="s">
        <v>381</v>
      </c>
      <c r="I45" s="18"/>
      <c r="J45" s="18" t="s">
        <v>149</v>
      </c>
      <c r="K45" s="18" t="s">
        <v>132</v>
      </c>
      <c r="L45" s="18" t="s">
        <v>133</v>
      </c>
      <c r="M45" s="18" t="s">
        <v>13</v>
      </c>
      <c r="N45" s="18" t="s">
        <v>150</v>
      </c>
      <c r="O45" s="18" t="s">
        <v>139</v>
      </c>
      <c r="P45" s="18" t="s">
        <v>151</v>
      </c>
      <c r="Q45" s="18" t="s">
        <v>382</v>
      </c>
      <c r="R45" s="18"/>
      <c r="S45" s="18" t="s">
        <v>248</v>
      </c>
      <c r="T45" s="18" t="s">
        <v>249</v>
      </c>
      <c r="U45" s="18"/>
    </row>
    <row r="46" customFormat="false" ht="22.35" hidden="false" customHeight="false" outlineLevel="0" collapsed="false">
      <c r="A46" s="18" t="s">
        <v>383</v>
      </c>
      <c r="B46" s="18" t="s">
        <v>243</v>
      </c>
      <c r="C46" s="18" t="s">
        <v>267</v>
      </c>
      <c r="D46" s="18" t="s">
        <v>268</v>
      </c>
      <c r="E46" s="18" t="s">
        <v>15</v>
      </c>
      <c r="F46" s="18" t="s">
        <v>37</v>
      </c>
      <c r="G46" s="18" t="s">
        <v>327</v>
      </c>
      <c r="H46" s="18"/>
      <c r="I46" s="18"/>
      <c r="J46" s="18" t="s">
        <v>120</v>
      </c>
      <c r="K46" s="18" t="s">
        <v>100</v>
      </c>
      <c r="L46" s="18" t="s">
        <v>101</v>
      </c>
      <c r="M46" s="18" t="s">
        <v>13</v>
      </c>
      <c r="N46" s="18" t="s">
        <v>109</v>
      </c>
      <c r="O46" s="18" t="s">
        <v>15</v>
      </c>
      <c r="P46" s="18" t="s">
        <v>110</v>
      </c>
      <c r="Q46" s="18"/>
      <c r="R46" s="18"/>
      <c r="S46" s="18" t="s">
        <v>270</v>
      </c>
      <c r="T46" s="18" t="s">
        <v>249</v>
      </c>
      <c r="U46" s="18"/>
    </row>
    <row r="47" customFormat="false" ht="15" hidden="false" customHeight="false" outlineLevel="0" collapsed="false">
      <c r="A47" s="18" t="s">
        <v>384</v>
      </c>
      <c r="B47" s="18" t="s">
        <v>243</v>
      </c>
      <c r="C47" s="18" t="s">
        <v>385</v>
      </c>
      <c r="D47" s="18" t="s">
        <v>386</v>
      </c>
      <c r="E47" s="18" t="s">
        <v>170</v>
      </c>
      <c r="F47" s="18"/>
      <c r="G47" s="18"/>
      <c r="H47" s="18"/>
      <c r="I47" s="18"/>
      <c r="J47" s="18" t="s">
        <v>166</v>
      </c>
      <c r="K47" s="18" t="s">
        <v>167</v>
      </c>
      <c r="L47" s="18" t="s">
        <v>168</v>
      </c>
      <c r="M47" s="18" t="s">
        <v>13</v>
      </c>
      <c r="N47" s="18" t="s">
        <v>169</v>
      </c>
      <c r="O47" s="18" t="s">
        <v>170</v>
      </c>
      <c r="P47" s="18" t="s">
        <v>168</v>
      </c>
      <c r="Q47" s="18"/>
      <c r="R47" s="18"/>
      <c r="S47" s="18" t="s">
        <v>248</v>
      </c>
      <c r="T47" s="18" t="s">
        <v>249</v>
      </c>
      <c r="U47" s="18"/>
    </row>
    <row r="48" customFormat="false" ht="22.35" hidden="false" customHeight="false" outlineLevel="0" collapsed="false">
      <c r="A48" s="18" t="s">
        <v>387</v>
      </c>
      <c r="B48" s="18" t="s">
        <v>243</v>
      </c>
      <c r="C48" s="18" t="s">
        <v>251</v>
      </c>
      <c r="D48" s="18" t="s">
        <v>388</v>
      </c>
      <c r="E48" s="18" t="s">
        <v>50</v>
      </c>
      <c r="F48" s="18" t="s">
        <v>51</v>
      </c>
      <c r="G48" s="18" t="s">
        <v>303</v>
      </c>
      <c r="H48" s="18"/>
      <c r="I48" s="18"/>
      <c r="J48" s="18" t="s">
        <v>49</v>
      </c>
      <c r="K48" s="18" t="s">
        <v>38</v>
      </c>
      <c r="L48" s="18" t="s">
        <v>39</v>
      </c>
      <c r="M48" s="18" t="s">
        <v>13</v>
      </c>
      <c r="N48" s="18" t="s">
        <v>19</v>
      </c>
      <c r="O48" s="18" t="s">
        <v>50</v>
      </c>
      <c r="P48" s="18" t="s">
        <v>51</v>
      </c>
      <c r="Q48" s="18" t="s">
        <v>389</v>
      </c>
      <c r="R48" s="18" t="s">
        <v>305</v>
      </c>
      <c r="S48" s="18" t="s">
        <v>255</v>
      </c>
      <c r="T48" s="18" t="s">
        <v>249</v>
      </c>
      <c r="U48" s="18"/>
    </row>
    <row r="49" customFormat="false" ht="32.8" hidden="false" customHeight="false" outlineLevel="0" collapsed="false">
      <c r="A49" s="18" t="s">
        <v>390</v>
      </c>
      <c r="B49" s="18" t="s">
        <v>243</v>
      </c>
      <c r="C49" s="18" t="s">
        <v>251</v>
      </c>
      <c r="D49" s="18" t="s">
        <v>391</v>
      </c>
      <c r="E49" s="18" t="s">
        <v>218</v>
      </c>
      <c r="F49" s="18" t="s">
        <v>67</v>
      </c>
      <c r="G49" s="18" t="s">
        <v>390</v>
      </c>
      <c r="H49" s="18"/>
      <c r="I49" s="18"/>
      <c r="J49" s="18" t="s">
        <v>65</v>
      </c>
      <c r="K49" s="18" t="s">
        <v>38</v>
      </c>
      <c r="L49" s="18" t="s">
        <v>39</v>
      </c>
      <c r="M49" s="18" t="s">
        <v>13</v>
      </c>
      <c r="N49" s="18" t="s">
        <v>24</v>
      </c>
      <c r="O49" s="18" t="s">
        <v>66</v>
      </c>
      <c r="P49" s="18" t="s">
        <v>67</v>
      </c>
      <c r="Q49" s="18" t="s">
        <v>392</v>
      </c>
      <c r="R49" s="18" t="s">
        <v>393</v>
      </c>
      <c r="S49" s="18" t="s">
        <v>255</v>
      </c>
      <c r="T49" s="18" t="s">
        <v>249</v>
      </c>
      <c r="U49" s="18"/>
    </row>
    <row r="50" customFormat="false" ht="22.35" hidden="false" customHeight="false" outlineLevel="0" collapsed="false">
      <c r="A50" s="18" t="s">
        <v>394</v>
      </c>
      <c r="B50" s="18" t="s">
        <v>243</v>
      </c>
      <c r="C50" s="18" t="s">
        <v>267</v>
      </c>
      <c r="D50" s="18" t="s">
        <v>268</v>
      </c>
      <c r="E50" s="18" t="s">
        <v>15</v>
      </c>
      <c r="F50" s="18" t="s">
        <v>20</v>
      </c>
      <c r="G50" s="18" t="s">
        <v>276</v>
      </c>
      <c r="H50" s="18"/>
      <c r="I50" s="18"/>
      <c r="J50" s="18" t="s">
        <v>113</v>
      </c>
      <c r="K50" s="18" t="s">
        <v>100</v>
      </c>
      <c r="L50" s="18" t="s">
        <v>101</v>
      </c>
      <c r="M50" s="18" t="s">
        <v>13</v>
      </c>
      <c r="N50" s="18" t="s">
        <v>109</v>
      </c>
      <c r="O50" s="18" t="s">
        <v>15</v>
      </c>
      <c r="P50" s="18" t="s">
        <v>110</v>
      </c>
      <c r="Q50" s="18"/>
      <c r="R50" s="18"/>
      <c r="S50" s="18" t="s">
        <v>270</v>
      </c>
      <c r="T50" s="18" t="s">
        <v>249</v>
      </c>
      <c r="U50" s="18"/>
    </row>
    <row r="51" customFormat="false" ht="22.35" hidden="false" customHeight="false" outlineLevel="0" collapsed="false">
      <c r="A51" s="18" t="s">
        <v>395</v>
      </c>
      <c r="B51" s="18" t="s">
        <v>243</v>
      </c>
      <c r="C51" s="18" t="s">
        <v>267</v>
      </c>
      <c r="D51" s="18" t="s">
        <v>291</v>
      </c>
      <c r="E51" s="18" t="s">
        <v>47</v>
      </c>
      <c r="F51" s="18" t="s">
        <v>55</v>
      </c>
      <c r="G51" s="18" t="s">
        <v>257</v>
      </c>
      <c r="H51" s="18"/>
      <c r="I51" s="18"/>
      <c r="J51" s="18" t="s">
        <v>118</v>
      </c>
      <c r="K51" s="18" t="s">
        <v>100</v>
      </c>
      <c r="L51" s="18" t="s">
        <v>101</v>
      </c>
      <c r="M51" s="18" t="s">
        <v>13</v>
      </c>
      <c r="N51" s="18" t="s">
        <v>109</v>
      </c>
      <c r="O51" s="18" t="s">
        <v>25</v>
      </c>
      <c r="P51" s="18" t="s">
        <v>55</v>
      </c>
      <c r="Q51" s="18"/>
      <c r="R51" s="18"/>
      <c r="S51" s="18" t="s">
        <v>270</v>
      </c>
      <c r="T51" s="18" t="s">
        <v>249</v>
      </c>
      <c r="U51" s="18" t="s">
        <v>256</v>
      </c>
    </row>
    <row r="52" customFormat="false" ht="32.8" hidden="false" customHeight="false" outlineLevel="0" collapsed="false">
      <c r="A52" s="18" t="s">
        <v>396</v>
      </c>
      <c r="B52" s="18" t="s">
        <v>243</v>
      </c>
      <c r="C52" s="18" t="s">
        <v>251</v>
      </c>
      <c r="D52" s="18" t="s">
        <v>180</v>
      </c>
      <c r="E52" s="18" t="s">
        <v>15</v>
      </c>
      <c r="F52" s="18" t="s">
        <v>71</v>
      </c>
      <c r="G52" s="18" t="s">
        <v>396</v>
      </c>
      <c r="H52" s="18"/>
      <c r="I52" s="18"/>
      <c r="J52" s="18" t="s">
        <v>70</v>
      </c>
      <c r="K52" s="18" t="s">
        <v>38</v>
      </c>
      <c r="L52" s="18" t="s">
        <v>39</v>
      </c>
      <c r="M52" s="18" t="s">
        <v>13</v>
      </c>
      <c r="N52" s="18" t="s">
        <v>24</v>
      </c>
      <c r="O52" s="18" t="s">
        <v>15</v>
      </c>
      <c r="P52" s="18" t="s">
        <v>71</v>
      </c>
      <c r="Q52" s="18" t="s">
        <v>397</v>
      </c>
      <c r="R52" s="18" t="s">
        <v>398</v>
      </c>
      <c r="S52" s="18" t="s">
        <v>255</v>
      </c>
      <c r="T52" s="18" t="s">
        <v>249</v>
      </c>
      <c r="U52" s="18"/>
    </row>
    <row r="53" customFormat="false" ht="32.8" hidden="false" customHeight="false" outlineLevel="0" collapsed="false">
      <c r="A53" s="18" t="s">
        <v>399</v>
      </c>
      <c r="B53" s="18" t="s">
        <v>243</v>
      </c>
      <c r="C53" s="18" t="s">
        <v>244</v>
      </c>
      <c r="D53" s="18" t="s">
        <v>400</v>
      </c>
      <c r="E53" s="18" t="s">
        <v>139</v>
      </c>
      <c r="F53" s="18"/>
      <c r="G53" s="18"/>
      <c r="H53" s="18" t="s">
        <v>401</v>
      </c>
      <c r="I53" s="18"/>
      <c r="J53" s="18" t="s">
        <v>29</v>
      </c>
      <c r="K53" s="18" t="s">
        <v>402</v>
      </c>
      <c r="L53" s="18" t="s">
        <v>403</v>
      </c>
      <c r="M53" s="18" t="s">
        <v>13</v>
      </c>
      <c r="N53" s="18" t="s">
        <v>31</v>
      </c>
      <c r="O53" s="18" t="s">
        <v>404</v>
      </c>
      <c r="P53" s="18" t="s">
        <v>33</v>
      </c>
      <c r="Q53" s="18" t="s">
        <v>405</v>
      </c>
      <c r="R53" s="18"/>
      <c r="S53" s="18" t="s">
        <v>248</v>
      </c>
      <c r="T53" s="18" t="s">
        <v>249</v>
      </c>
      <c r="U53" s="18" t="s">
        <v>332</v>
      </c>
    </row>
    <row r="54" customFormat="false" ht="22.35" hidden="false" customHeight="false" outlineLevel="0" collapsed="false">
      <c r="A54" s="18" t="s">
        <v>406</v>
      </c>
      <c r="B54" s="18" t="s">
        <v>243</v>
      </c>
      <c r="C54" s="18" t="s">
        <v>267</v>
      </c>
      <c r="D54" s="18" t="s">
        <v>268</v>
      </c>
      <c r="E54" s="18" t="s">
        <v>47</v>
      </c>
      <c r="F54" s="18" t="s">
        <v>55</v>
      </c>
      <c r="G54" s="18" t="s">
        <v>257</v>
      </c>
      <c r="H54" s="18"/>
      <c r="I54" s="18"/>
      <c r="J54" s="18" t="s">
        <v>111</v>
      </c>
      <c r="K54" s="18" t="s">
        <v>100</v>
      </c>
      <c r="L54" s="18" t="s">
        <v>101</v>
      </c>
      <c r="M54" s="18" t="s">
        <v>13</v>
      </c>
      <c r="N54" s="18" t="s">
        <v>109</v>
      </c>
      <c r="O54" s="18" t="s">
        <v>25</v>
      </c>
      <c r="P54" s="18" t="s">
        <v>55</v>
      </c>
      <c r="Q54" s="18"/>
      <c r="R54" s="18"/>
      <c r="S54" s="18" t="s">
        <v>270</v>
      </c>
      <c r="T54" s="18" t="s">
        <v>249</v>
      </c>
      <c r="U54" s="18" t="s">
        <v>256</v>
      </c>
    </row>
    <row r="55" customFormat="false" ht="22.35" hidden="false" customHeight="false" outlineLevel="0" collapsed="false">
      <c r="A55" s="18" t="s">
        <v>407</v>
      </c>
      <c r="B55" s="18" t="s">
        <v>243</v>
      </c>
      <c r="C55" s="18" t="s">
        <v>267</v>
      </c>
      <c r="D55" s="18" t="s">
        <v>408</v>
      </c>
      <c r="E55" s="18" t="s">
        <v>15</v>
      </c>
      <c r="F55" s="18" t="s">
        <v>79</v>
      </c>
      <c r="G55" s="18" t="s">
        <v>311</v>
      </c>
      <c r="H55" s="18"/>
      <c r="I55" s="18"/>
      <c r="J55" s="18" t="s">
        <v>112</v>
      </c>
      <c r="K55" s="18" t="s">
        <v>100</v>
      </c>
      <c r="L55" s="18" t="s">
        <v>101</v>
      </c>
      <c r="M55" s="18" t="s">
        <v>13</v>
      </c>
      <c r="N55" s="18" t="s">
        <v>109</v>
      </c>
      <c r="O55" s="18" t="s">
        <v>15</v>
      </c>
      <c r="P55" s="18" t="s">
        <v>110</v>
      </c>
      <c r="Q55" s="18"/>
      <c r="R55" s="18"/>
      <c r="S55" s="18" t="s">
        <v>270</v>
      </c>
      <c r="T55" s="18" t="s">
        <v>249</v>
      </c>
      <c r="U55" s="18"/>
    </row>
    <row r="56" customFormat="false" ht="32.8" hidden="false" customHeight="false" outlineLevel="0" collapsed="false">
      <c r="A56" s="18" t="s">
        <v>409</v>
      </c>
      <c r="B56" s="18" t="s">
        <v>243</v>
      </c>
      <c r="C56" s="18" t="s">
        <v>251</v>
      </c>
      <c r="D56" s="18" t="s">
        <v>334</v>
      </c>
      <c r="E56" s="18" t="s">
        <v>25</v>
      </c>
      <c r="F56" s="18" t="s">
        <v>75</v>
      </c>
      <c r="G56" s="18" t="s">
        <v>297</v>
      </c>
      <c r="H56" s="18"/>
      <c r="I56" s="18"/>
      <c r="J56" s="18" t="s">
        <v>74</v>
      </c>
      <c r="K56" s="18" t="s">
        <v>38</v>
      </c>
      <c r="L56" s="18" t="s">
        <v>39</v>
      </c>
      <c r="M56" s="18" t="s">
        <v>13</v>
      </c>
      <c r="N56" s="18" t="s">
        <v>24</v>
      </c>
      <c r="O56" s="18" t="s">
        <v>50</v>
      </c>
      <c r="P56" s="18" t="s">
        <v>75</v>
      </c>
      <c r="Q56" s="18" t="s">
        <v>410</v>
      </c>
      <c r="R56" s="18" t="s">
        <v>259</v>
      </c>
      <c r="S56" s="18" t="s">
        <v>255</v>
      </c>
      <c r="T56" s="18" t="s">
        <v>249</v>
      </c>
      <c r="U56" s="18" t="s">
        <v>411</v>
      </c>
    </row>
    <row r="57" customFormat="false" ht="32.8" hidden="false" customHeight="false" outlineLevel="0" collapsed="false">
      <c r="A57" s="18" t="s">
        <v>412</v>
      </c>
      <c r="B57" s="18" t="s">
        <v>243</v>
      </c>
      <c r="C57" s="18" t="s">
        <v>251</v>
      </c>
      <c r="D57" s="18" t="s">
        <v>377</v>
      </c>
      <c r="E57" s="18" t="s">
        <v>42</v>
      </c>
      <c r="F57" s="18" t="s">
        <v>53</v>
      </c>
      <c r="G57" s="18" t="s">
        <v>413</v>
      </c>
      <c r="H57" s="18"/>
      <c r="I57" s="18"/>
      <c r="J57" s="18" t="s">
        <v>52</v>
      </c>
      <c r="K57" s="18" t="s">
        <v>38</v>
      </c>
      <c r="L57" s="18" t="s">
        <v>39</v>
      </c>
      <c r="M57" s="18" t="s">
        <v>13</v>
      </c>
      <c r="N57" s="18" t="s">
        <v>19</v>
      </c>
      <c r="O57" s="18" t="s">
        <v>42</v>
      </c>
      <c r="P57" s="18" t="s">
        <v>53</v>
      </c>
      <c r="Q57" s="18" t="s">
        <v>414</v>
      </c>
      <c r="R57" s="18" t="s">
        <v>415</v>
      </c>
      <c r="S57" s="18" t="s">
        <v>255</v>
      </c>
      <c r="T57" s="18" t="s">
        <v>249</v>
      </c>
      <c r="U57" s="18"/>
    </row>
    <row r="58" customFormat="false" ht="22.35" hidden="false" customHeight="false" outlineLevel="0" collapsed="false">
      <c r="A58" s="18" t="s">
        <v>416</v>
      </c>
      <c r="B58" s="18" t="s">
        <v>243</v>
      </c>
      <c r="C58" s="18" t="s">
        <v>267</v>
      </c>
      <c r="D58" s="18" t="s">
        <v>417</v>
      </c>
      <c r="E58" s="18" t="s">
        <v>162</v>
      </c>
      <c r="F58" s="18"/>
      <c r="G58" s="18" t="s">
        <v>300</v>
      </c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 t="s">
        <v>270</v>
      </c>
      <c r="T58" s="18" t="s">
        <v>249</v>
      </c>
      <c r="U58" s="18" t="s">
        <v>265</v>
      </c>
    </row>
    <row r="59" customFormat="false" ht="32.8" hidden="false" customHeight="false" outlineLevel="0" collapsed="false">
      <c r="A59" s="18" t="s">
        <v>349</v>
      </c>
      <c r="B59" s="18" t="s">
        <v>243</v>
      </c>
      <c r="C59" s="18" t="s">
        <v>251</v>
      </c>
      <c r="D59" s="18" t="s">
        <v>358</v>
      </c>
      <c r="E59" s="18" t="s">
        <v>15</v>
      </c>
      <c r="F59" s="18" t="s">
        <v>35</v>
      </c>
      <c r="G59" s="18" t="s">
        <v>349</v>
      </c>
      <c r="H59" s="18"/>
      <c r="I59" s="18"/>
      <c r="J59" s="18" t="s">
        <v>34</v>
      </c>
      <c r="K59" s="18" t="s">
        <v>328</v>
      </c>
      <c r="L59" s="18" t="s">
        <v>329</v>
      </c>
      <c r="M59" s="18" t="s">
        <v>13</v>
      </c>
      <c r="N59" s="18" t="s">
        <v>19</v>
      </c>
      <c r="O59" s="18" t="s">
        <v>15</v>
      </c>
      <c r="P59" s="18" t="s">
        <v>35</v>
      </c>
      <c r="Q59" s="18" t="s">
        <v>418</v>
      </c>
      <c r="R59" s="18" t="s">
        <v>419</v>
      </c>
      <c r="S59" s="18" t="s">
        <v>255</v>
      </c>
      <c r="T59" s="18" t="s">
        <v>249</v>
      </c>
      <c r="U59" s="18" t="s">
        <v>332</v>
      </c>
    </row>
    <row r="60" customFormat="false" ht="32.8" hidden="false" customHeight="false" outlineLevel="0" collapsed="false">
      <c r="A60" s="18" t="s">
        <v>420</v>
      </c>
      <c r="B60" s="18" t="s">
        <v>243</v>
      </c>
      <c r="C60" s="18" t="s">
        <v>251</v>
      </c>
      <c r="D60" s="18" t="s">
        <v>421</v>
      </c>
      <c r="E60" s="18" t="s">
        <v>42</v>
      </c>
      <c r="F60" s="18" t="s">
        <v>43</v>
      </c>
      <c r="G60" s="18" t="s">
        <v>420</v>
      </c>
      <c r="H60" s="18"/>
      <c r="I60" s="18"/>
      <c r="J60" s="18" t="s">
        <v>40</v>
      </c>
      <c r="K60" s="18" t="s">
        <v>38</v>
      </c>
      <c r="L60" s="18" t="s">
        <v>39</v>
      </c>
      <c r="M60" s="18" t="s">
        <v>13</v>
      </c>
      <c r="N60" s="18" t="s">
        <v>41</v>
      </c>
      <c r="O60" s="18" t="s">
        <v>42</v>
      </c>
      <c r="P60" s="18" t="s">
        <v>43</v>
      </c>
      <c r="Q60" s="18" t="s">
        <v>422</v>
      </c>
      <c r="R60" s="18" t="s">
        <v>423</v>
      </c>
      <c r="S60" s="18" t="s">
        <v>255</v>
      </c>
      <c r="T60" s="18" t="s">
        <v>249</v>
      </c>
      <c r="U60" s="18" t="s">
        <v>424</v>
      </c>
    </row>
    <row r="61" customFormat="false" ht="22.35" hidden="false" customHeight="false" outlineLevel="0" collapsed="false">
      <c r="A61" s="18" t="s">
        <v>425</v>
      </c>
      <c r="B61" s="18" t="s">
        <v>243</v>
      </c>
      <c r="C61" s="18" t="s">
        <v>251</v>
      </c>
      <c r="D61" s="18" t="s">
        <v>334</v>
      </c>
      <c r="E61" s="18" t="s">
        <v>25</v>
      </c>
      <c r="F61" s="18" t="s">
        <v>83</v>
      </c>
      <c r="G61" s="18" t="s">
        <v>425</v>
      </c>
      <c r="H61" s="18"/>
      <c r="I61" s="18"/>
      <c r="J61" s="18" t="s">
        <v>82</v>
      </c>
      <c r="K61" s="18" t="s">
        <v>38</v>
      </c>
      <c r="L61" s="18" t="s">
        <v>39</v>
      </c>
      <c r="M61" s="18" t="s">
        <v>13</v>
      </c>
      <c r="N61" s="18" t="s">
        <v>24</v>
      </c>
      <c r="O61" s="18" t="s">
        <v>25</v>
      </c>
      <c r="P61" s="18" t="s">
        <v>83</v>
      </c>
      <c r="Q61" s="18" t="s">
        <v>426</v>
      </c>
      <c r="R61" s="18" t="s">
        <v>299</v>
      </c>
      <c r="S61" s="18" t="s">
        <v>255</v>
      </c>
      <c r="T61" s="18" t="s">
        <v>249</v>
      </c>
      <c r="U61" s="18" t="s">
        <v>427</v>
      </c>
    </row>
    <row r="62" customFormat="false" ht="22.35" hidden="false" customHeight="false" outlineLevel="0" collapsed="false">
      <c r="A62" s="18" t="s">
        <v>428</v>
      </c>
      <c r="B62" s="18" t="s">
        <v>243</v>
      </c>
      <c r="C62" s="18" t="s">
        <v>267</v>
      </c>
      <c r="D62" s="18" t="s">
        <v>368</v>
      </c>
      <c r="E62" s="18" t="s">
        <v>25</v>
      </c>
      <c r="F62" s="18" t="s">
        <v>55</v>
      </c>
      <c r="G62" s="18" t="s">
        <v>297</v>
      </c>
      <c r="H62" s="18"/>
      <c r="I62" s="18"/>
      <c r="J62" s="18" t="s">
        <v>114</v>
      </c>
      <c r="K62" s="18" t="s">
        <v>100</v>
      </c>
      <c r="L62" s="18" t="s">
        <v>101</v>
      </c>
      <c r="M62" s="18" t="s">
        <v>13</v>
      </c>
      <c r="N62" s="18" t="s">
        <v>109</v>
      </c>
      <c r="O62" s="18" t="s">
        <v>25</v>
      </c>
      <c r="P62" s="18" t="s">
        <v>55</v>
      </c>
      <c r="Q62" s="18"/>
      <c r="R62" s="18"/>
      <c r="S62" s="18" t="s">
        <v>270</v>
      </c>
      <c r="T62" s="18" t="s">
        <v>249</v>
      </c>
      <c r="U62" s="18"/>
    </row>
    <row r="63" customFormat="false" ht="15" hidden="false" customHeight="false" outlineLevel="0" collapsed="false">
      <c r="A63" s="18" t="s">
        <v>429</v>
      </c>
      <c r="B63" s="18" t="s">
        <v>243</v>
      </c>
      <c r="C63" s="18" t="s">
        <v>385</v>
      </c>
      <c r="D63" s="18" t="s">
        <v>386</v>
      </c>
      <c r="E63" s="18" t="s">
        <v>170</v>
      </c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 t="s">
        <v>248</v>
      </c>
      <c r="T63" s="18" t="s">
        <v>249</v>
      </c>
      <c r="U63" s="18" t="s">
        <v>265</v>
      </c>
    </row>
    <row r="64" customFormat="false" ht="32.8" hidden="false" customHeight="false" outlineLevel="0" collapsed="false">
      <c r="A64" s="18" t="s">
        <v>269</v>
      </c>
      <c r="B64" s="18" t="s">
        <v>243</v>
      </c>
      <c r="C64" s="18" t="s">
        <v>251</v>
      </c>
      <c r="D64" s="18" t="s">
        <v>334</v>
      </c>
      <c r="E64" s="18" t="s">
        <v>25</v>
      </c>
      <c r="F64" s="18" t="s">
        <v>26</v>
      </c>
      <c r="G64" s="18" t="s">
        <v>269</v>
      </c>
      <c r="H64" s="18"/>
      <c r="I64" s="18"/>
      <c r="J64" s="18" t="s">
        <v>21</v>
      </c>
      <c r="K64" s="18" t="s">
        <v>328</v>
      </c>
      <c r="L64" s="18" t="s">
        <v>329</v>
      </c>
      <c r="M64" s="18" t="s">
        <v>13</v>
      </c>
      <c r="N64" s="18" t="s">
        <v>24</v>
      </c>
      <c r="O64" s="18" t="s">
        <v>25</v>
      </c>
      <c r="P64" s="18" t="s">
        <v>26</v>
      </c>
      <c r="Q64" s="18" t="s">
        <v>430</v>
      </c>
      <c r="R64" s="18" t="s">
        <v>299</v>
      </c>
      <c r="S64" s="18" t="s">
        <v>255</v>
      </c>
      <c r="T64" s="18" t="s">
        <v>249</v>
      </c>
      <c r="U64" s="18" t="s">
        <v>332</v>
      </c>
    </row>
    <row r="65" customFormat="false" ht="22.35" hidden="false" customHeight="false" outlineLevel="0" collapsed="false">
      <c r="A65" s="18" t="s">
        <v>431</v>
      </c>
      <c r="B65" s="18" t="s">
        <v>243</v>
      </c>
      <c r="C65" s="18" t="s">
        <v>251</v>
      </c>
      <c r="D65" s="18" t="s">
        <v>284</v>
      </c>
      <c r="E65" s="18" t="s">
        <v>25</v>
      </c>
      <c r="F65" s="18" t="s">
        <v>77</v>
      </c>
      <c r="G65" s="18" t="s">
        <v>297</v>
      </c>
      <c r="H65" s="18"/>
      <c r="I65" s="18"/>
      <c r="J65" s="18" t="s">
        <v>76</v>
      </c>
      <c r="K65" s="18" t="s">
        <v>38</v>
      </c>
      <c r="L65" s="18" t="s">
        <v>39</v>
      </c>
      <c r="M65" s="18" t="s">
        <v>13</v>
      </c>
      <c r="N65" s="18" t="s">
        <v>24</v>
      </c>
      <c r="O65" s="18" t="s">
        <v>25</v>
      </c>
      <c r="P65" s="18" t="s">
        <v>77</v>
      </c>
      <c r="Q65" s="18"/>
      <c r="R65" s="18" t="s">
        <v>299</v>
      </c>
      <c r="S65" s="18" t="s">
        <v>255</v>
      </c>
      <c r="T65" s="18" t="s">
        <v>249</v>
      </c>
      <c r="U65" s="18" t="s">
        <v>286</v>
      </c>
    </row>
    <row r="66" customFormat="false" ht="32.8" hidden="false" customHeight="false" outlineLevel="0" collapsed="false">
      <c r="A66" s="18" t="s">
        <v>432</v>
      </c>
      <c r="B66" s="18" t="s">
        <v>243</v>
      </c>
      <c r="C66" s="18" t="s">
        <v>244</v>
      </c>
      <c r="D66" s="18" t="s">
        <v>400</v>
      </c>
      <c r="E66" s="18" t="s">
        <v>139</v>
      </c>
      <c r="F66" s="18"/>
      <c r="G66" s="18"/>
      <c r="H66" s="18" t="s">
        <v>381</v>
      </c>
      <c r="I66" s="18"/>
      <c r="J66" s="18" t="s">
        <v>145</v>
      </c>
      <c r="K66" s="18" t="s">
        <v>132</v>
      </c>
      <c r="L66" s="18" t="s">
        <v>133</v>
      </c>
      <c r="M66" s="18" t="s">
        <v>13</v>
      </c>
      <c r="N66" s="18" t="s">
        <v>31</v>
      </c>
      <c r="O66" s="18" t="s">
        <v>139</v>
      </c>
      <c r="P66" s="18" t="s">
        <v>33</v>
      </c>
      <c r="Q66" s="18" t="s">
        <v>433</v>
      </c>
      <c r="R66" s="18"/>
      <c r="S66" s="18" t="s">
        <v>248</v>
      </c>
      <c r="T66" s="18" t="s">
        <v>249</v>
      </c>
      <c r="U66" s="18"/>
    </row>
    <row r="67" customFormat="false" ht="32.8" hidden="false" customHeight="false" outlineLevel="0" collapsed="false">
      <c r="A67" s="18" t="s">
        <v>434</v>
      </c>
      <c r="B67" s="18" t="s">
        <v>435</v>
      </c>
      <c r="C67" s="18" t="s">
        <v>267</v>
      </c>
      <c r="D67" s="18" t="s">
        <v>348</v>
      </c>
      <c r="E67" s="18" t="s">
        <v>15</v>
      </c>
      <c r="F67" s="18" t="s">
        <v>16</v>
      </c>
      <c r="G67" s="18" t="s">
        <v>294</v>
      </c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 t="s">
        <v>436</v>
      </c>
      <c r="T67" s="18" t="s">
        <v>249</v>
      </c>
      <c r="U67" s="18" t="s">
        <v>437</v>
      </c>
    </row>
    <row r="68" customFormat="false" ht="32.8" hidden="false" customHeight="false" outlineLevel="0" collapsed="false">
      <c r="A68" s="18" t="s">
        <v>438</v>
      </c>
      <c r="B68" s="18" t="s">
        <v>435</v>
      </c>
      <c r="C68" s="18" t="s">
        <v>267</v>
      </c>
      <c r="D68" s="18" t="s">
        <v>368</v>
      </c>
      <c r="E68" s="18" t="s">
        <v>218</v>
      </c>
      <c r="F68" s="18"/>
      <c r="G68" s="18" t="s">
        <v>390</v>
      </c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 t="s">
        <v>436</v>
      </c>
      <c r="T68" s="18" t="s">
        <v>249</v>
      </c>
      <c r="U68" s="18" t="s">
        <v>437</v>
      </c>
    </row>
    <row r="69" customFormat="false" ht="22.35" hidden="false" customHeight="false" outlineLevel="0" collapsed="false">
      <c r="A69" s="18" t="s">
        <v>439</v>
      </c>
      <c r="B69" s="18" t="s">
        <v>440</v>
      </c>
      <c r="C69" s="18" t="s">
        <v>440</v>
      </c>
      <c r="D69" s="18" t="s">
        <v>441</v>
      </c>
      <c r="E69" s="18" t="s">
        <v>15</v>
      </c>
      <c r="F69" s="18" t="s">
        <v>16</v>
      </c>
      <c r="G69" s="18" t="s">
        <v>294</v>
      </c>
      <c r="H69" s="18"/>
      <c r="I69" s="18"/>
      <c r="J69" s="18" t="s">
        <v>119</v>
      </c>
      <c r="K69" s="18" t="s">
        <v>100</v>
      </c>
      <c r="L69" s="18" t="s">
        <v>101</v>
      </c>
      <c r="M69" s="18" t="s">
        <v>13</v>
      </c>
      <c r="N69" s="18" t="s">
        <v>109</v>
      </c>
      <c r="O69" s="18" t="s">
        <v>15</v>
      </c>
      <c r="P69" s="18" t="s">
        <v>110</v>
      </c>
      <c r="Q69" s="18"/>
      <c r="R69" s="18"/>
      <c r="S69" s="18" t="s">
        <v>442</v>
      </c>
      <c r="T69" s="18" t="s">
        <v>249</v>
      </c>
      <c r="U69" s="18"/>
    </row>
    <row r="70" customFormat="false" ht="22.35" hidden="false" customHeight="false" outlineLevel="0" collapsed="false">
      <c r="A70" s="18" t="s">
        <v>443</v>
      </c>
      <c r="B70" s="18" t="s">
        <v>440</v>
      </c>
      <c r="C70" s="18" t="s">
        <v>440</v>
      </c>
      <c r="D70" s="18" t="s">
        <v>444</v>
      </c>
      <c r="E70" s="18" t="s">
        <v>15</v>
      </c>
      <c r="F70" s="18" t="s">
        <v>178</v>
      </c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 t="s">
        <v>442</v>
      </c>
      <c r="T70" s="18" t="s">
        <v>249</v>
      </c>
      <c r="U70" s="18" t="s">
        <v>265</v>
      </c>
    </row>
    <row r="71" customFormat="false" ht="22.35" hidden="false" customHeight="false" outlineLevel="0" collapsed="false">
      <c r="A71" s="18" t="s">
        <v>445</v>
      </c>
      <c r="B71" s="18" t="s">
        <v>440</v>
      </c>
      <c r="C71" s="18" t="s">
        <v>440</v>
      </c>
      <c r="D71" s="18" t="s">
        <v>408</v>
      </c>
      <c r="E71" s="18" t="s">
        <v>15</v>
      </c>
      <c r="F71" s="18" t="s">
        <v>178</v>
      </c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 t="s">
        <v>442</v>
      </c>
      <c r="T71" s="18" t="s">
        <v>249</v>
      </c>
      <c r="U71" s="18" t="s">
        <v>265</v>
      </c>
    </row>
    <row r="72" customFormat="false" ht="22.35" hidden="false" customHeight="false" outlineLevel="0" collapsed="false">
      <c r="A72" s="18" t="s">
        <v>446</v>
      </c>
      <c r="B72" s="18" t="s">
        <v>440</v>
      </c>
      <c r="C72" s="18" t="s">
        <v>440</v>
      </c>
      <c r="D72" s="18" t="s">
        <v>441</v>
      </c>
      <c r="E72" s="18" t="s">
        <v>15</v>
      </c>
      <c r="F72" s="18" t="s">
        <v>16</v>
      </c>
      <c r="G72" s="18" t="s">
        <v>294</v>
      </c>
      <c r="H72" s="18"/>
      <c r="I72" s="18"/>
      <c r="J72" s="18" t="s">
        <v>108</v>
      </c>
      <c r="K72" s="18" t="s">
        <v>100</v>
      </c>
      <c r="L72" s="18" t="s">
        <v>101</v>
      </c>
      <c r="M72" s="18" t="s">
        <v>13</v>
      </c>
      <c r="N72" s="18" t="s">
        <v>109</v>
      </c>
      <c r="O72" s="18" t="s">
        <v>15</v>
      </c>
      <c r="P72" s="18" t="s">
        <v>110</v>
      </c>
      <c r="Q72" s="18"/>
      <c r="R72" s="18"/>
      <c r="S72" s="18" t="s">
        <v>442</v>
      </c>
      <c r="T72" s="18" t="s">
        <v>249</v>
      </c>
      <c r="U72" s="18"/>
    </row>
    <row r="73" customFormat="false" ht="22.35" hidden="false" customHeight="false" outlineLevel="0" collapsed="false">
      <c r="A73" s="18" t="s">
        <v>447</v>
      </c>
      <c r="B73" s="18" t="s">
        <v>440</v>
      </c>
      <c r="C73" s="18" t="s">
        <v>440</v>
      </c>
      <c r="D73" s="18" t="s">
        <v>334</v>
      </c>
      <c r="E73" s="18" t="s">
        <v>15</v>
      </c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 t="s">
        <v>442</v>
      </c>
      <c r="T73" s="18" t="s">
        <v>249</v>
      </c>
      <c r="U73" s="18" t="s">
        <v>265</v>
      </c>
    </row>
    <row r="74" customFormat="false" ht="22.35" hidden="false" customHeight="false" outlineLevel="0" collapsed="false">
      <c r="A74" s="18" t="s">
        <v>448</v>
      </c>
      <c r="B74" s="18" t="s">
        <v>440</v>
      </c>
      <c r="C74" s="18" t="s">
        <v>440</v>
      </c>
      <c r="D74" s="18" t="s">
        <v>441</v>
      </c>
      <c r="E74" s="18" t="s">
        <v>15</v>
      </c>
      <c r="F74" s="18" t="s">
        <v>37</v>
      </c>
      <c r="G74" s="18" t="s">
        <v>327</v>
      </c>
      <c r="H74" s="18"/>
      <c r="I74" s="18"/>
      <c r="J74" s="18" t="s">
        <v>194</v>
      </c>
      <c r="K74" s="18" t="s">
        <v>174</v>
      </c>
      <c r="L74" s="18" t="s">
        <v>188</v>
      </c>
      <c r="M74" s="18" t="s">
        <v>189</v>
      </c>
      <c r="N74" s="18" t="s">
        <v>193</v>
      </c>
      <c r="O74" s="18" t="s">
        <v>15</v>
      </c>
      <c r="P74" s="18" t="s">
        <v>110</v>
      </c>
      <c r="Q74" s="18"/>
      <c r="R74" s="18"/>
      <c r="S74" s="18" t="s">
        <v>442</v>
      </c>
      <c r="T74" s="18" t="s">
        <v>249</v>
      </c>
      <c r="U74" s="18"/>
    </row>
    <row r="75" customFormat="false" ht="22.35" hidden="false" customHeight="false" outlineLevel="0" collapsed="false">
      <c r="A75" s="18" t="s">
        <v>449</v>
      </c>
      <c r="B75" s="18" t="s">
        <v>440</v>
      </c>
      <c r="C75" s="18" t="s">
        <v>440</v>
      </c>
      <c r="D75" s="18" t="s">
        <v>441</v>
      </c>
      <c r="E75" s="18" t="s">
        <v>162</v>
      </c>
      <c r="F75" s="18"/>
      <c r="G75" s="18" t="s">
        <v>300</v>
      </c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 t="s">
        <v>442</v>
      </c>
      <c r="T75" s="18" t="s">
        <v>249</v>
      </c>
      <c r="U75" s="18" t="s">
        <v>265</v>
      </c>
    </row>
    <row r="76" customFormat="false" ht="22.35" hidden="false" customHeight="false" outlineLevel="0" collapsed="false">
      <c r="A76" s="18" t="s">
        <v>450</v>
      </c>
      <c r="B76" s="18" t="s">
        <v>440</v>
      </c>
      <c r="C76" s="18" t="s">
        <v>440</v>
      </c>
      <c r="D76" s="18" t="s">
        <v>408</v>
      </c>
      <c r="E76" s="18" t="s">
        <v>15</v>
      </c>
      <c r="F76" s="18" t="s">
        <v>62</v>
      </c>
      <c r="G76" s="18" t="s">
        <v>352</v>
      </c>
      <c r="H76" s="18"/>
      <c r="I76" s="18"/>
      <c r="J76" s="18" t="s">
        <v>156</v>
      </c>
      <c r="K76" s="18" t="s">
        <v>154</v>
      </c>
      <c r="L76" s="18" t="s">
        <v>101</v>
      </c>
      <c r="M76" s="18" t="s">
        <v>155</v>
      </c>
      <c r="N76" s="18" t="s">
        <v>101</v>
      </c>
      <c r="O76" s="18" t="s">
        <v>15</v>
      </c>
      <c r="P76" s="18" t="s">
        <v>110</v>
      </c>
      <c r="Q76" s="18"/>
      <c r="R76" s="18"/>
      <c r="S76" s="18" t="s">
        <v>442</v>
      </c>
      <c r="T76" s="18" t="s">
        <v>249</v>
      </c>
      <c r="U76" s="18"/>
    </row>
    <row r="77" customFormat="false" ht="22.35" hidden="false" customHeight="false" outlineLevel="0" collapsed="false">
      <c r="A77" s="18" t="s">
        <v>451</v>
      </c>
      <c r="B77" s="18" t="s">
        <v>440</v>
      </c>
      <c r="C77" s="18" t="s">
        <v>440</v>
      </c>
      <c r="D77" s="18" t="s">
        <v>441</v>
      </c>
      <c r="E77" s="18" t="s">
        <v>15</v>
      </c>
      <c r="F77" s="18" t="s">
        <v>60</v>
      </c>
      <c r="G77" s="18" t="s">
        <v>336</v>
      </c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 t="s">
        <v>442</v>
      </c>
      <c r="T77" s="18" t="s">
        <v>249</v>
      </c>
      <c r="U77" s="18" t="s">
        <v>265</v>
      </c>
    </row>
    <row r="78" customFormat="false" ht="22.35" hidden="false" customHeight="false" outlineLevel="0" collapsed="false">
      <c r="A78" s="18" t="s">
        <v>452</v>
      </c>
      <c r="B78" s="18" t="s">
        <v>440</v>
      </c>
      <c r="C78" s="18" t="s">
        <v>440</v>
      </c>
      <c r="D78" s="18" t="s">
        <v>441</v>
      </c>
      <c r="E78" s="18" t="s">
        <v>15</v>
      </c>
      <c r="F78" s="18" t="s">
        <v>178</v>
      </c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 t="s">
        <v>442</v>
      </c>
      <c r="T78" s="18" t="s">
        <v>249</v>
      </c>
      <c r="U78" s="18" t="s">
        <v>265</v>
      </c>
    </row>
    <row r="79" customFormat="false" ht="22.35" hidden="false" customHeight="false" outlineLevel="0" collapsed="false">
      <c r="A79" s="18" t="s">
        <v>453</v>
      </c>
      <c r="B79" s="18" t="s">
        <v>440</v>
      </c>
      <c r="C79" s="18" t="s">
        <v>440</v>
      </c>
      <c r="D79" s="18" t="s">
        <v>408</v>
      </c>
      <c r="E79" s="18" t="s">
        <v>15</v>
      </c>
      <c r="F79" s="18" t="s">
        <v>20</v>
      </c>
      <c r="G79" s="18" t="s">
        <v>276</v>
      </c>
      <c r="H79" s="18"/>
      <c r="I79" s="18"/>
      <c r="J79" s="18" t="s">
        <v>187</v>
      </c>
      <c r="K79" s="18" t="s">
        <v>174</v>
      </c>
      <c r="L79" s="18" t="s">
        <v>188</v>
      </c>
      <c r="M79" s="18" t="s">
        <v>189</v>
      </c>
      <c r="N79" s="18" t="s">
        <v>190</v>
      </c>
      <c r="O79" s="18" t="s">
        <v>15</v>
      </c>
      <c r="P79" s="18" t="s">
        <v>110</v>
      </c>
      <c r="Q79" s="18"/>
      <c r="R79" s="18"/>
      <c r="S79" s="18" t="s">
        <v>442</v>
      </c>
      <c r="T79" s="18" t="s">
        <v>249</v>
      </c>
      <c r="U79" s="18"/>
    </row>
    <row r="80" customFormat="false" ht="22.35" hidden="false" customHeight="false" outlineLevel="0" collapsed="false">
      <c r="A80" s="18" t="s">
        <v>454</v>
      </c>
      <c r="B80" s="18" t="s">
        <v>440</v>
      </c>
      <c r="C80" s="18" t="s">
        <v>440</v>
      </c>
      <c r="D80" s="18" t="s">
        <v>408</v>
      </c>
      <c r="E80" s="18" t="s">
        <v>42</v>
      </c>
      <c r="F80" s="18" t="s">
        <v>116</v>
      </c>
      <c r="G80" s="18"/>
      <c r="H80" s="18"/>
      <c r="I80" s="18"/>
      <c r="J80" s="18" t="s">
        <v>115</v>
      </c>
      <c r="K80" s="18" t="s">
        <v>100</v>
      </c>
      <c r="L80" s="18" t="s">
        <v>101</v>
      </c>
      <c r="M80" s="18" t="s">
        <v>13</v>
      </c>
      <c r="N80" s="18" t="s">
        <v>109</v>
      </c>
      <c r="O80" s="18" t="s">
        <v>50</v>
      </c>
      <c r="P80" s="18" t="s">
        <v>116</v>
      </c>
      <c r="Q80" s="18"/>
      <c r="R80" s="18"/>
      <c r="S80" s="18" t="s">
        <v>442</v>
      </c>
      <c r="T80" s="18" t="s">
        <v>249</v>
      </c>
      <c r="U80" s="18" t="s">
        <v>256</v>
      </c>
    </row>
    <row r="81" customFormat="false" ht="43.25" hidden="false" customHeight="false" outlineLevel="0" collapsed="false">
      <c r="A81" s="18" t="s">
        <v>455</v>
      </c>
      <c r="B81" s="18" t="s">
        <v>440</v>
      </c>
      <c r="C81" s="18" t="s">
        <v>440</v>
      </c>
      <c r="D81" s="18" t="s">
        <v>408</v>
      </c>
      <c r="E81" s="18" t="s">
        <v>15</v>
      </c>
      <c r="F81" s="18" t="s">
        <v>20</v>
      </c>
      <c r="G81" s="18" t="s">
        <v>276</v>
      </c>
      <c r="H81" s="18"/>
      <c r="I81" s="18" t="s">
        <v>253</v>
      </c>
      <c r="J81" s="18" t="s">
        <v>121</v>
      </c>
      <c r="K81" s="18" t="s">
        <v>100</v>
      </c>
      <c r="L81" s="18" t="s">
        <v>101</v>
      </c>
      <c r="M81" s="18" t="s">
        <v>13</v>
      </c>
      <c r="N81" s="18" t="s">
        <v>109</v>
      </c>
      <c r="O81" s="18" t="s">
        <v>15</v>
      </c>
      <c r="P81" s="18" t="s">
        <v>110</v>
      </c>
      <c r="Q81" s="18"/>
      <c r="R81" s="18" t="s">
        <v>254</v>
      </c>
      <c r="S81" s="18" t="s">
        <v>442</v>
      </c>
      <c r="T81" s="18" t="s">
        <v>249</v>
      </c>
      <c r="U81" s="18"/>
    </row>
    <row r="82" customFormat="false" ht="22.35" hidden="false" customHeight="false" outlineLevel="0" collapsed="false">
      <c r="A82" s="18" t="s">
        <v>456</v>
      </c>
      <c r="B82" s="18" t="s">
        <v>440</v>
      </c>
      <c r="C82" s="18" t="s">
        <v>440</v>
      </c>
      <c r="D82" s="18" t="s">
        <v>441</v>
      </c>
      <c r="E82" s="18" t="s">
        <v>47</v>
      </c>
      <c r="F82" s="18"/>
      <c r="G82" s="18" t="s">
        <v>257</v>
      </c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 t="s">
        <v>442</v>
      </c>
      <c r="T82" s="18" t="s">
        <v>249</v>
      </c>
      <c r="U82" s="18" t="s">
        <v>265</v>
      </c>
    </row>
    <row r="83" customFormat="false" ht="22.35" hidden="false" customHeight="false" outlineLevel="0" collapsed="false">
      <c r="A83" s="18" t="s">
        <v>457</v>
      </c>
      <c r="B83" s="18" t="s">
        <v>440</v>
      </c>
      <c r="C83" s="18" t="s">
        <v>440</v>
      </c>
      <c r="D83" s="18" t="s">
        <v>441</v>
      </c>
      <c r="E83" s="18" t="s">
        <v>162</v>
      </c>
      <c r="F83" s="18" t="s">
        <v>55</v>
      </c>
      <c r="G83" s="18" t="s">
        <v>300</v>
      </c>
      <c r="H83" s="18"/>
      <c r="I83" s="18"/>
      <c r="J83" s="18" t="s">
        <v>192</v>
      </c>
      <c r="K83" s="18" t="s">
        <v>174</v>
      </c>
      <c r="L83" s="18" t="s">
        <v>188</v>
      </c>
      <c r="M83" s="18" t="s">
        <v>189</v>
      </c>
      <c r="N83" s="18" t="s">
        <v>193</v>
      </c>
      <c r="O83" s="18" t="s">
        <v>25</v>
      </c>
      <c r="P83" s="18" t="s">
        <v>55</v>
      </c>
      <c r="Q83" s="18"/>
      <c r="R83" s="18"/>
      <c r="S83" s="18" t="s">
        <v>442</v>
      </c>
      <c r="T83" s="18" t="s">
        <v>249</v>
      </c>
      <c r="U83" s="18" t="s">
        <v>256</v>
      </c>
    </row>
    <row r="84" customFormat="false" ht="22.35" hidden="false" customHeight="false" outlineLevel="0" collapsed="false">
      <c r="A84" s="18" t="s">
        <v>458</v>
      </c>
      <c r="B84" s="18" t="s">
        <v>440</v>
      </c>
      <c r="C84" s="18" t="s">
        <v>440</v>
      </c>
      <c r="D84" s="18" t="s">
        <v>321</v>
      </c>
      <c r="E84" s="18" t="s">
        <v>15</v>
      </c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 t="s">
        <v>442</v>
      </c>
      <c r="T84" s="18" t="s">
        <v>249</v>
      </c>
      <c r="U84" s="18" t="s">
        <v>265</v>
      </c>
    </row>
    <row r="85" customFormat="false" ht="22.35" hidden="false" customHeight="false" outlineLevel="0" collapsed="false">
      <c r="A85" s="18" t="s">
        <v>459</v>
      </c>
      <c r="B85" s="18" t="s">
        <v>440</v>
      </c>
      <c r="C85" s="18" t="s">
        <v>440</v>
      </c>
      <c r="D85" s="18" t="s">
        <v>408</v>
      </c>
      <c r="E85" s="18" t="s">
        <v>15</v>
      </c>
      <c r="F85" s="18" t="s">
        <v>16</v>
      </c>
      <c r="G85" s="18" t="s">
        <v>294</v>
      </c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 t="s">
        <v>442</v>
      </c>
      <c r="T85" s="18" t="s">
        <v>249</v>
      </c>
      <c r="U85" s="18" t="s">
        <v>265</v>
      </c>
    </row>
    <row r="86" customFormat="false" ht="22.35" hidden="false" customHeight="false" outlineLevel="0" collapsed="false">
      <c r="A86" s="18" t="s">
        <v>460</v>
      </c>
      <c r="B86" s="18" t="s">
        <v>440</v>
      </c>
      <c r="C86" s="18" t="s">
        <v>440</v>
      </c>
      <c r="D86" s="18" t="s">
        <v>441</v>
      </c>
      <c r="E86" s="18" t="s">
        <v>15</v>
      </c>
      <c r="F86" s="18" t="s">
        <v>85</v>
      </c>
      <c r="G86" s="18" t="s">
        <v>283</v>
      </c>
      <c r="H86" s="18"/>
      <c r="I86" s="18"/>
      <c r="J86" s="18" t="s">
        <v>117</v>
      </c>
      <c r="K86" s="18" t="s">
        <v>100</v>
      </c>
      <c r="L86" s="18" t="s">
        <v>101</v>
      </c>
      <c r="M86" s="18" t="s">
        <v>13</v>
      </c>
      <c r="N86" s="18" t="s">
        <v>109</v>
      </c>
      <c r="O86" s="18" t="s">
        <v>15</v>
      </c>
      <c r="P86" s="18" t="s">
        <v>110</v>
      </c>
      <c r="Q86" s="18"/>
      <c r="R86" s="18"/>
      <c r="S86" s="18" t="s">
        <v>442</v>
      </c>
      <c r="T86" s="18" t="s">
        <v>249</v>
      </c>
      <c r="U86" s="18"/>
    </row>
    <row r="87" customFormat="false" ht="22.35" hidden="false" customHeight="false" outlineLevel="0" collapsed="false">
      <c r="A87" s="18" t="s">
        <v>461</v>
      </c>
      <c r="B87" s="18" t="s">
        <v>440</v>
      </c>
      <c r="C87" s="18" t="s">
        <v>440</v>
      </c>
      <c r="D87" s="18" t="s">
        <v>358</v>
      </c>
      <c r="E87" s="18" t="s">
        <v>15</v>
      </c>
      <c r="F87" s="18" t="s">
        <v>181</v>
      </c>
      <c r="G87" s="18"/>
      <c r="H87" s="18"/>
      <c r="I87" s="18"/>
      <c r="J87" s="18" t="s">
        <v>179</v>
      </c>
      <c r="K87" s="18" t="s">
        <v>174</v>
      </c>
      <c r="L87" s="18" t="s">
        <v>175</v>
      </c>
      <c r="M87" s="18" t="s">
        <v>176</v>
      </c>
      <c r="N87" s="18" t="s">
        <v>180</v>
      </c>
      <c r="O87" s="18" t="s">
        <v>15</v>
      </c>
      <c r="P87" s="18" t="s">
        <v>181</v>
      </c>
      <c r="Q87" s="18"/>
      <c r="R87" s="18"/>
      <c r="S87" s="18" t="s">
        <v>442</v>
      </c>
      <c r="T87" s="18" t="s">
        <v>249</v>
      </c>
      <c r="U87" s="18" t="s">
        <v>462</v>
      </c>
    </row>
    <row r="88" customFormat="false" ht="22.35" hidden="false" customHeight="false" outlineLevel="0" collapsed="false">
      <c r="A88" s="18" t="s">
        <v>463</v>
      </c>
      <c r="B88" s="18" t="s">
        <v>440</v>
      </c>
      <c r="C88" s="18" t="s">
        <v>440</v>
      </c>
      <c r="D88" s="18" t="s">
        <v>284</v>
      </c>
      <c r="E88" s="18" t="s">
        <v>47</v>
      </c>
      <c r="F88" s="18" t="s">
        <v>88</v>
      </c>
      <c r="G88" s="18" t="s">
        <v>257</v>
      </c>
      <c r="H88" s="18"/>
      <c r="I88" s="18"/>
      <c r="J88" s="18" t="s">
        <v>86</v>
      </c>
      <c r="K88" s="18" t="s">
        <v>38</v>
      </c>
      <c r="L88" s="18" t="s">
        <v>39</v>
      </c>
      <c r="M88" s="18" t="s">
        <v>13</v>
      </c>
      <c r="N88" s="18" t="s">
        <v>87</v>
      </c>
      <c r="O88" s="18" t="s">
        <v>50</v>
      </c>
      <c r="P88" s="18" t="s">
        <v>88</v>
      </c>
      <c r="Q88" s="18"/>
      <c r="R88" s="18"/>
      <c r="S88" s="18" t="s">
        <v>442</v>
      </c>
      <c r="T88" s="18" t="s">
        <v>249</v>
      </c>
      <c r="U88" s="18" t="s">
        <v>256</v>
      </c>
    </row>
    <row r="89" customFormat="false" ht="22.35" hidden="false" customHeight="false" outlineLevel="0" collapsed="false">
      <c r="A89" s="18" t="s">
        <v>464</v>
      </c>
      <c r="B89" s="18" t="s">
        <v>440</v>
      </c>
      <c r="C89" s="18" t="s">
        <v>440</v>
      </c>
      <c r="D89" s="18" t="s">
        <v>408</v>
      </c>
      <c r="E89" s="18" t="s">
        <v>25</v>
      </c>
      <c r="F89" s="18" t="s">
        <v>45</v>
      </c>
      <c r="G89" s="18" t="s">
        <v>297</v>
      </c>
      <c r="H89" s="18"/>
      <c r="I89" s="18"/>
      <c r="J89" s="18" t="s">
        <v>122</v>
      </c>
      <c r="K89" s="18" t="s">
        <v>100</v>
      </c>
      <c r="L89" s="18" t="s">
        <v>101</v>
      </c>
      <c r="M89" s="18" t="s">
        <v>13</v>
      </c>
      <c r="N89" s="18" t="s">
        <v>123</v>
      </c>
      <c r="O89" s="18" t="s">
        <v>25</v>
      </c>
      <c r="P89" s="18" t="s">
        <v>55</v>
      </c>
      <c r="Q89" s="18"/>
      <c r="R89" s="18"/>
      <c r="S89" s="18" t="s">
        <v>442</v>
      </c>
      <c r="T89" s="18" t="s">
        <v>249</v>
      </c>
      <c r="U89" s="18"/>
    </row>
    <row r="90" customFormat="false" ht="32.8" hidden="false" customHeight="false" outlineLevel="0" collapsed="false">
      <c r="A90" s="18" t="s">
        <v>465</v>
      </c>
      <c r="B90" s="18" t="s">
        <v>440</v>
      </c>
      <c r="C90" s="18" t="s">
        <v>440</v>
      </c>
      <c r="D90" s="18" t="s">
        <v>377</v>
      </c>
      <c r="E90" s="18" t="s">
        <v>25</v>
      </c>
      <c r="F90" s="18" t="s">
        <v>55</v>
      </c>
      <c r="G90" s="18" t="s">
        <v>297</v>
      </c>
      <c r="H90" s="18"/>
      <c r="I90" s="18"/>
      <c r="J90" s="18" t="s">
        <v>54</v>
      </c>
      <c r="K90" s="18" t="s">
        <v>38</v>
      </c>
      <c r="L90" s="18" t="s">
        <v>39</v>
      </c>
      <c r="M90" s="18" t="s">
        <v>13</v>
      </c>
      <c r="N90" s="18" t="s">
        <v>19</v>
      </c>
      <c r="O90" s="18" t="s">
        <v>25</v>
      </c>
      <c r="P90" s="18" t="s">
        <v>55</v>
      </c>
      <c r="Q90" s="18" t="s">
        <v>466</v>
      </c>
      <c r="R90" s="18"/>
      <c r="S90" s="18" t="s">
        <v>442</v>
      </c>
      <c r="T90" s="18" t="s">
        <v>249</v>
      </c>
      <c r="U90" s="18"/>
    </row>
    <row r="91" customFormat="false" ht="22.35" hidden="false" customHeight="false" outlineLevel="0" collapsed="false">
      <c r="A91" s="18" t="s">
        <v>467</v>
      </c>
      <c r="B91" s="18" t="s">
        <v>440</v>
      </c>
      <c r="C91" s="18" t="s">
        <v>440</v>
      </c>
      <c r="D91" s="18" t="s">
        <v>408</v>
      </c>
      <c r="E91" s="18" t="s">
        <v>15</v>
      </c>
      <c r="F91" s="18" t="s">
        <v>181</v>
      </c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 t="s">
        <v>442</v>
      </c>
      <c r="T91" s="18" t="s">
        <v>249</v>
      </c>
      <c r="U91" s="18" t="s">
        <v>265</v>
      </c>
    </row>
    <row r="92" customFormat="false" ht="32.8" hidden="false" customHeight="false" outlineLevel="0" collapsed="false">
      <c r="A92" s="18" t="s">
        <v>468</v>
      </c>
      <c r="B92" s="18" t="s">
        <v>440</v>
      </c>
      <c r="C92" s="18" t="s">
        <v>440</v>
      </c>
      <c r="D92" s="18" t="s">
        <v>177</v>
      </c>
      <c r="E92" s="18" t="s">
        <v>15</v>
      </c>
      <c r="F92" s="18" t="s">
        <v>178</v>
      </c>
      <c r="G92" s="18"/>
      <c r="H92" s="18"/>
      <c r="I92" s="18"/>
      <c r="J92" s="18" t="s">
        <v>173</v>
      </c>
      <c r="K92" s="18" t="s">
        <v>174</v>
      </c>
      <c r="L92" s="18" t="s">
        <v>175</v>
      </c>
      <c r="M92" s="18" t="s">
        <v>176</v>
      </c>
      <c r="N92" s="18" t="s">
        <v>177</v>
      </c>
      <c r="O92" s="18" t="s">
        <v>15</v>
      </c>
      <c r="P92" s="18" t="s">
        <v>178</v>
      </c>
      <c r="Q92" s="18" t="s">
        <v>469</v>
      </c>
      <c r="R92" s="18"/>
      <c r="S92" s="18" t="s">
        <v>442</v>
      </c>
      <c r="T92" s="18" t="s">
        <v>249</v>
      </c>
      <c r="U92" s="18"/>
    </row>
    <row r="93" customFormat="false" ht="32.8" hidden="false" customHeight="false" outlineLevel="0" collapsed="false">
      <c r="A93" s="18" t="s">
        <v>470</v>
      </c>
      <c r="B93" s="18" t="s">
        <v>440</v>
      </c>
      <c r="C93" s="18" t="s">
        <v>440</v>
      </c>
      <c r="D93" s="18" t="s">
        <v>334</v>
      </c>
      <c r="E93" s="18" t="s">
        <v>15</v>
      </c>
      <c r="F93" s="18" t="s">
        <v>69</v>
      </c>
      <c r="G93" s="18"/>
      <c r="H93" s="18"/>
      <c r="I93" s="18"/>
      <c r="J93" s="18" t="s">
        <v>68</v>
      </c>
      <c r="K93" s="18" t="s">
        <v>38</v>
      </c>
      <c r="L93" s="18" t="s">
        <v>39</v>
      </c>
      <c r="M93" s="18" t="s">
        <v>13</v>
      </c>
      <c r="N93" s="18" t="s">
        <v>24</v>
      </c>
      <c r="O93" s="18" t="s">
        <v>15</v>
      </c>
      <c r="P93" s="18" t="s">
        <v>69</v>
      </c>
      <c r="Q93" s="18" t="s">
        <v>471</v>
      </c>
      <c r="R93" s="18"/>
      <c r="S93" s="18" t="s">
        <v>442</v>
      </c>
      <c r="T93" s="18" t="s">
        <v>249</v>
      </c>
      <c r="U93" s="18"/>
    </row>
    <row r="94" customFormat="false" ht="22.35" hidden="false" customHeight="false" outlineLevel="0" collapsed="false">
      <c r="A94" s="18" t="s">
        <v>472</v>
      </c>
      <c r="B94" s="18" t="s">
        <v>473</v>
      </c>
      <c r="C94" s="18"/>
      <c r="D94" s="18"/>
      <c r="E94" s="18"/>
      <c r="F94" s="18"/>
      <c r="G94" s="18"/>
      <c r="H94" s="18"/>
      <c r="I94" s="18"/>
      <c r="J94" s="18" t="s">
        <v>171</v>
      </c>
      <c r="K94" s="18" t="s">
        <v>167</v>
      </c>
      <c r="L94" s="18" t="s">
        <v>168</v>
      </c>
      <c r="M94" s="18" t="s">
        <v>13</v>
      </c>
      <c r="N94" s="18" t="s">
        <v>172</v>
      </c>
      <c r="O94" s="18" t="s">
        <v>170</v>
      </c>
      <c r="P94" s="18" t="s">
        <v>168</v>
      </c>
      <c r="Q94" s="18"/>
      <c r="R94" s="18"/>
      <c r="S94" s="18"/>
      <c r="T94" s="18" t="s">
        <v>249</v>
      </c>
      <c r="U94" s="18" t="s">
        <v>474</v>
      </c>
    </row>
    <row r="95" customFormat="false" ht="22.35" hidden="false" customHeight="false" outlineLevel="0" collapsed="false">
      <c r="A95" s="18" t="s">
        <v>475</v>
      </c>
      <c r="B95" s="18" t="s">
        <v>473</v>
      </c>
      <c r="C95" s="18"/>
      <c r="D95" s="18"/>
      <c r="E95" s="18"/>
      <c r="F95" s="18"/>
      <c r="G95" s="18"/>
      <c r="H95" s="18"/>
      <c r="I95" s="18"/>
      <c r="J95" s="18" t="s">
        <v>159</v>
      </c>
      <c r="K95" s="18" t="s">
        <v>154</v>
      </c>
      <c r="L95" s="18" t="s">
        <v>101</v>
      </c>
      <c r="M95" s="18" t="s">
        <v>155</v>
      </c>
      <c r="N95" s="18" t="s">
        <v>101</v>
      </c>
      <c r="O95" s="18" t="s">
        <v>15</v>
      </c>
      <c r="P95" s="18" t="s">
        <v>110</v>
      </c>
      <c r="Q95" s="18"/>
      <c r="R95" s="18"/>
      <c r="S95" s="18"/>
      <c r="T95" s="18" t="s">
        <v>249</v>
      </c>
      <c r="U95" s="18" t="s">
        <v>474</v>
      </c>
    </row>
    <row r="96" customFormat="false" ht="22.35" hidden="false" customHeight="false" outlineLevel="0" collapsed="false">
      <c r="A96" s="18" t="s">
        <v>476</v>
      </c>
      <c r="B96" s="18" t="s">
        <v>473</v>
      </c>
      <c r="C96" s="18"/>
      <c r="D96" s="18"/>
      <c r="E96" s="18"/>
      <c r="F96" s="18"/>
      <c r="G96" s="18"/>
      <c r="H96" s="18"/>
      <c r="I96" s="18"/>
      <c r="J96" s="18" t="s">
        <v>160</v>
      </c>
      <c r="K96" s="18" t="s">
        <v>154</v>
      </c>
      <c r="L96" s="18" t="s">
        <v>101</v>
      </c>
      <c r="M96" s="18" t="s">
        <v>155</v>
      </c>
      <c r="N96" s="18" t="s">
        <v>101</v>
      </c>
      <c r="O96" s="18" t="s">
        <v>15</v>
      </c>
      <c r="P96" s="18" t="s">
        <v>110</v>
      </c>
      <c r="Q96" s="18"/>
      <c r="R96" s="18"/>
      <c r="S96" s="18"/>
      <c r="T96" s="18" t="s">
        <v>249</v>
      </c>
      <c r="U96" s="18" t="s">
        <v>474</v>
      </c>
    </row>
    <row r="97" customFormat="false" ht="22.35" hidden="false" customHeight="false" outlineLevel="0" collapsed="false">
      <c r="A97" s="18" t="s">
        <v>477</v>
      </c>
      <c r="B97" s="18" t="s">
        <v>473</v>
      </c>
      <c r="C97" s="18"/>
      <c r="D97" s="18"/>
      <c r="E97" s="18"/>
      <c r="F97" s="18"/>
      <c r="G97" s="18"/>
      <c r="H97" s="18"/>
      <c r="I97" s="18"/>
      <c r="J97" s="18" t="s">
        <v>157</v>
      </c>
      <c r="K97" s="18" t="s">
        <v>154</v>
      </c>
      <c r="L97" s="18" t="s">
        <v>101</v>
      </c>
      <c r="M97" s="18" t="s">
        <v>155</v>
      </c>
      <c r="N97" s="18" t="s">
        <v>101</v>
      </c>
      <c r="O97" s="18" t="s">
        <v>15</v>
      </c>
      <c r="P97" s="18" t="s">
        <v>110</v>
      </c>
      <c r="Q97" s="18"/>
      <c r="R97" s="18"/>
      <c r="S97" s="18"/>
      <c r="T97" s="18" t="s">
        <v>249</v>
      </c>
      <c r="U97" s="18" t="s">
        <v>474</v>
      </c>
    </row>
    <row r="98" customFormat="false" ht="22.35" hidden="false" customHeight="false" outlineLevel="0" collapsed="false">
      <c r="A98" s="18" t="s">
        <v>478</v>
      </c>
      <c r="B98" s="18" t="s">
        <v>473</v>
      </c>
      <c r="C98" s="18"/>
      <c r="D98" s="18"/>
      <c r="E98" s="18"/>
      <c r="F98" s="18"/>
      <c r="G98" s="18"/>
      <c r="H98" s="18"/>
      <c r="I98" s="18"/>
      <c r="J98" s="18" t="s">
        <v>195</v>
      </c>
      <c r="K98" s="18" t="s">
        <v>174</v>
      </c>
      <c r="L98" s="18" t="s">
        <v>188</v>
      </c>
      <c r="M98" s="18" t="s">
        <v>189</v>
      </c>
      <c r="N98" s="18" t="s">
        <v>193</v>
      </c>
      <c r="O98" s="18" t="s">
        <v>15</v>
      </c>
      <c r="P98" s="18" t="s">
        <v>110</v>
      </c>
      <c r="Q98" s="18"/>
      <c r="R98" s="18"/>
      <c r="S98" s="18"/>
      <c r="T98" s="18" t="s">
        <v>249</v>
      </c>
      <c r="U98" s="18" t="s">
        <v>474</v>
      </c>
    </row>
    <row r="99" customFormat="false" ht="22.35" hidden="false" customHeight="false" outlineLevel="0" collapsed="false">
      <c r="A99" s="18" t="s">
        <v>479</v>
      </c>
      <c r="B99" s="18" t="s">
        <v>473</v>
      </c>
      <c r="C99" s="18"/>
      <c r="D99" s="18"/>
      <c r="E99" s="18"/>
      <c r="F99" s="18"/>
      <c r="G99" s="18"/>
      <c r="H99" s="18"/>
      <c r="I99" s="18"/>
      <c r="J99" s="18" t="s">
        <v>128</v>
      </c>
      <c r="K99" s="18" t="s">
        <v>100</v>
      </c>
      <c r="L99" s="18" t="s">
        <v>101</v>
      </c>
      <c r="M99" s="18" t="s">
        <v>13</v>
      </c>
      <c r="N99" s="18" t="s">
        <v>129</v>
      </c>
      <c r="O99" s="18" t="s">
        <v>15</v>
      </c>
      <c r="P99" s="18" t="s">
        <v>130</v>
      </c>
      <c r="Q99" s="18"/>
      <c r="R99" s="18"/>
      <c r="S99" s="18"/>
      <c r="T99" s="18" t="s">
        <v>249</v>
      </c>
      <c r="U99" s="18" t="s">
        <v>474</v>
      </c>
    </row>
    <row r="100" customFormat="false" ht="22.35" hidden="false" customHeight="false" outlineLevel="0" collapsed="false">
      <c r="A100" s="18" t="s">
        <v>480</v>
      </c>
      <c r="B100" s="18" t="s">
        <v>473</v>
      </c>
      <c r="C100" s="18"/>
      <c r="D100" s="18"/>
      <c r="E100" s="18"/>
      <c r="F100" s="18"/>
      <c r="G100" s="18"/>
      <c r="H100" s="18"/>
      <c r="I100" s="18"/>
      <c r="J100" s="18" t="s">
        <v>72</v>
      </c>
      <c r="K100" s="18" t="s">
        <v>38</v>
      </c>
      <c r="L100" s="18" t="s">
        <v>39</v>
      </c>
      <c r="M100" s="18" t="s">
        <v>13</v>
      </c>
      <c r="N100" s="18" t="s">
        <v>24</v>
      </c>
      <c r="O100" s="18" t="s">
        <v>50</v>
      </c>
      <c r="P100" s="18" t="s">
        <v>73</v>
      </c>
      <c r="Q100" s="18"/>
      <c r="R100" s="18"/>
      <c r="S100" s="18"/>
      <c r="T100" s="18" t="s">
        <v>249</v>
      </c>
      <c r="U100" s="18" t="s">
        <v>474</v>
      </c>
    </row>
    <row r="101" customFormat="false" ht="22.35" hidden="false" customHeight="false" outlineLevel="0" collapsed="false">
      <c r="A101" s="18" t="s">
        <v>481</v>
      </c>
      <c r="B101" s="18" t="s">
        <v>473</v>
      </c>
      <c r="C101" s="18"/>
      <c r="D101" s="18"/>
      <c r="E101" s="18"/>
      <c r="F101" s="18"/>
      <c r="G101" s="18"/>
      <c r="H101" s="18"/>
      <c r="I101" s="18"/>
      <c r="J101" s="18" t="s">
        <v>153</v>
      </c>
      <c r="K101" s="18" t="s">
        <v>154</v>
      </c>
      <c r="L101" s="18" t="s">
        <v>101</v>
      </c>
      <c r="M101" s="18" t="s">
        <v>155</v>
      </c>
      <c r="N101" s="18" t="s">
        <v>101</v>
      </c>
      <c r="O101" s="18" t="s">
        <v>15</v>
      </c>
      <c r="P101" s="18" t="s">
        <v>110</v>
      </c>
      <c r="Q101" s="18"/>
      <c r="R101" s="18"/>
      <c r="S101" s="18"/>
      <c r="T101" s="18" t="s">
        <v>249</v>
      </c>
      <c r="U101" s="18" t="s">
        <v>474</v>
      </c>
    </row>
  </sheetData>
  <mergeCells count="2">
    <mergeCell ref="A1:U1"/>
    <mergeCell ref="A2:U2"/>
  </mergeCells>
  <conditionalFormatting sqref="B5:B101">
    <cfRule type="containsText" priority="2" operator="containsText" aboveAverage="0" equalAverage="0" bottom="0" percent="0" rank="0" text="Actual" dxfId="6">
      <formula>NOT(ISERROR(SEARCH("Actual",B5)))</formula>
    </cfRule>
    <cfRule type="containsText" priority="3" operator="containsText" aboveAverage="0" equalAverage="0" bottom="0" percent="0" rank="0" text="Exintegrante" dxfId="7">
      <formula>NOT(ISERROR(SEARCH("Exintegrante",B5)))</formula>
    </cfRule>
    <cfRule type="containsText" priority="4" operator="containsText" aboveAverage="0" equalAverage="0" bottom="0" percent="0" rank="0" text="Conflicto" dxfId="8">
      <formula>NOT(ISERROR(SEARCH("Conflicto",B5)))</formula>
    </cfRule>
    <cfRule type="containsText" priority="5" operator="containsText" aboveAverage="0" equalAverage="0" bottom="0" percent="0" rank="0" text="No encontrado" dxfId="9">
      <formula>NOT(ISERROR(SEARCH("No encontrado",B5)))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J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7"/>
    <col collapsed="false" customWidth="true" hidden="false" outlineLevel="0" max="3" min="2" style="0" width="25"/>
    <col collapsed="false" customWidth="true" hidden="false" outlineLevel="0" max="4" min="4" style="0" width="35"/>
    <col collapsed="false" customWidth="true" hidden="false" outlineLevel="0" max="5" min="5" style="0" width="37"/>
    <col collapsed="false" customWidth="true" hidden="false" outlineLevel="0" max="6" min="6" style="0" width="25"/>
    <col collapsed="false" customWidth="true" hidden="false" outlineLevel="0" max="7" min="7" style="0" width="35"/>
    <col collapsed="false" customWidth="true" hidden="false" outlineLevel="0" max="8" min="8" style="0" width="48"/>
    <col collapsed="false" customWidth="true" hidden="false" outlineLevel="0" max="9" min="9" style="0" width="13"/>
    <col collapsed="false" customWidth="true" hidden="false" outlineLevel="0" max="10" min="10" style="0" width="58"/>
  </cols>
  <sheetData>
    <row r="1" customFormat="false" ht="28" hidden="false" customHeight="true" outlineLevel="0" collapsed="false">
      <c r="A1" s="15" t="s">
        <v>482</v>
      </c>
      <c r="B1" s="15"/>
      <c r="C1" s="15"/>
      <c r="D1" s="15"/>
      <c r="E1" s="15"/>
      <c r="F1" s="15"/>
      <c r="G1" s="15"/>
      <c r="H1" s="15"/>
      <c r="I1" s="15"/>
      <c r="J1" s="15"/>
    </row>
    <row r="3" customFormat="false" ht="34" hidden="false" customHeight="true" outlineLevel="0" collapsed="false">
      <c r="A3" s="17" t="s">
        <v>483</v>
      </c>
      <c r="B3" s="17" t="s">
        <v>484</v>
      </c>
      <c r="C3" s="17" t="s">
        <v>224</v>
      </c>
      <c r="D3" s="17" t="s">
        <v>485</v>
      </c>
      <c r="E3" s="17" t="s">
        <v>226</v>
      </c>
      <c r="F3" s="17" t="s">
        <v>227</v>
      </c>
      <c r="G3" s="17" t="s">
        <v>235</v>
      </c>
      <c r="H3" s="17" t="s">
        <v>239</v>
      </c>
      <c r="I3" s="17" t="s">
        <v>240</v>
      </c>
      <c r="J3" s="17" t="s">
        <v>241</v>
      </c>
    </row>
    <row r="4" customFormat="false" ht="32.8" hidden="false" customHeight="false" outlineLevel="0" collapsed="false">
      <c r="A4" s="18" t="s">
        <v>434</v>
      </c>
      <c r="B4" s="18" t="s">
        <v>435</v>
      </c>
      <c r="C4" s="18" t="s">
        <v>348</v>
      </c>
      <c r="D4" s="18" t="s">
        <v>15</v>
      </c>
      <c r="E4" s="18" t="s">
        <v>16</v>
      </c>
      <c r="F4" s="18" t="s">
        <v>294</v>
      </c>
      <c r="G4" s="18"/>
      <c r="H4" s="18" t="s">
        <v>436</v>
      </c>
      <c r="I4" s="18" t="s">
        <v>249</v>
      </c>
      <c r="J4" s="18" t="s">
        <v>437</v>
      </c>
    </row>
    <row r="5" customFormat="false" ht="32.8" hidden="false" customHeight="false" outlineLevel="0" collapsed="false">
      <c r="A5" s="18" t="s">
        <v>438</v>
      </c>
      <c r="B5" s="18" t="s">
        <v>435</v>
      </c>
      <c r="C5" s="18" t="s">
        <v>368</v>
      </c>
      <c r="D5" s="18" t="s">
        <v>218</v>
      </c>
      <c r="E5" s="18"/>
      <c r="F5" s="18" t="s">
        <v>390</v>
      </c>
      <c r="G5" s="18"/>
      <c r="H5" s="18" t="s">
        <v>436</v>
      </c>
      <c r="I5" s="18" t="s">
        <v>249</v>
      </c>
      <c r="J5" s="18" t="s">
        <v>437</v>
      </c>
    </row>
    <row r="6" customFormat="false" ht="22.35" hidden="false" customHeight="false" outlineLevel="0" collapsed="false">
      <c r="A6" s="18" t="s">
        <v>439</v>
      </c>
      <c r="B6" s="18" t="s">
        <v>440</v>
      </c>
      <c r="C6" s="18" t="s">
        <v>441</v>
      </c>
      <c r="D6" s="18" t="s">
        <v>15</v>
      </c>
      <c r="E6" s="18" t="s">
        <v>16</v>
      </c>
      <c r="F6" s="18" t="s">
        <v>294</v>
      </c>
      <c r="G6" s="18" t="s">
        <v>15</v>
      </c>
      <c r="H6" s="18" t="s">
        <v>442</v>
      </c>
      <c r="I6" s="18" t="s">
        <v>249</v>
      </c>
      <c r="J6" s="18"/>
    </row>
    <row r="7" customFormat="false" ht="22.35" hidden="false" customHeight="false" outlineLevel="0" collapsed="false">
      <c r="A7" s="18" t="s">
        <v>443</v>
      </c>
      <c r="B7" s="18" t="s">
        <v>440</v>
      </c>
      <c r="C7" s="18" t="s">
        <v>444</v>
      </c>
      <c r="D7" s="18" t="s">
        <v>15</v>
      </c>
      <c r="E7" s="18" t="s">
        <v>178</v>
      </c>
      <c r="F7" s="18"/>
      <c r="G7" s="18"/>
      <c r="H7" s="18" t="s">
        <v>442</v>
      </c>
      <c r="I7" s="18" t="s">
        <v>249</v>
      </c>
      <c r="J7" s="18" t="s">
        <v>265</v>
      </c>
    </row>
    <row r="8" customFormat="false" ht="22.35" hidden="false" customHeight="false" outlineLevel="0" collapsed="false">
      <c r="A8" s="18" t="s">
        <v>445</v>
      </c>
      <c r="B8" s="18" t="s">
        <v>440</v>
      </c>
      <c r="C8" s="18" t="s">
        <v>408</v>
      </c>
      <c r="D8" s="18" t="s">
        <v>15</v>
      </c>
      <c r="E8" s="18" t="s">
        <v>178</v>
      </c>
      <c r="F8" s="18"/>
      <c r="G8" s="18"/>
      <c r="H8" s="18" t="s">
        <v>442</v>
      </c>
      <c r="I8" s="18" t="s">
        <v>249</v>
      </c>
      <c r="J8" s="18" t="s">
        <v>265</v>
      </c>
    </row>
    <row r="9" customFormat="false" ht="22.35" hidden="false" customHeight="false" outlineLevel="0" collapsed="false">
      <c r="A9" s="18" t="s">
        <v>446</v>
      </c>
      <c r="B9" s="18" t="s">
        <v>440</v>
      </c>
      <c r="C9" s="18" t="s">
        <v>441</v>
      </c>
      <c r="D9" s="18" t="s">
        <v>15</v>
      </c>
      <c r="E9" s="18" t="s">
        <v>16</v>
      </c>
      <c r="F9" s="18" t="s">
        <v>294</v>
      </c>
      <c r="G9" s="18" t="s">
        <v>15</v>
      </c>
      <c r="H9" s="18" t="s">
        <v>442</v>
      </c>
      <c r="I9" s="18" t="s">
        <v>249</v>
      </c>
      <c r="J9" s="18"/>
    </row>
    <row r="10" customFormat="false" ht="22.35" hidden="false" customHeight="false" outlineLevel="0" collapsed="false">
      <c r="A10" s="18" t="s">
        <v>447</v>
      </c>
      <c r="B10" s="18" t="s">
        <v>440</v>
      </c>
      <c r="C10" s="18" t="s">
        <v>334</v>
      </c>
      <c r="D10" s="18" t="s">
        <v>15</v>
      </c>
      <c r="E10" s="18"/>
      <c r="F10" s="18"/>
      <c r="G10" s="18"/>
      <c r="H10" s="18" t="s">
        <v>442</v>
      </c>
      <c r="I10" s="18" t="s">
        <v>249</v>
      </c>
      <c r="J10" s="18" t="s">
        <v>265</v>
      </c>
    </row>
    <row r="11" customFormat="false" ht="22.35" hidden="false" customHeight="false" outlineLevel="0" collapsed="false">
      <c r="A11" s="18" t="s">
        <v>448</v>
      </c>
      <c r="B11" s="18" t="s">
        <v>440</v>
      </c>
      <c r="C11" s="18" t="s">
        <v>441</v>
      </c>
      <c r="D11" s="18" t="s">
        <v>15</v>
      </c>
      <c r="E11" s="18" t="s">
        <v>37</v>
      </c>
      <c r="F11" s="18" t="s">
        <v>327</v>
      </c>
      <c r="G11" s="18" t="s">
        <v>15</v>
      </c>
      <c r="H11" s="18" t="s">
        <v>442</v>
      </c>
      <c r="I11" s="18" t="s">
        <v>249</v>
      </c>
      <c r="J11" s="18"/>
    </row>
    <row r="12" customFormat="false" ht="22.35" hidden="false" customHeight="false" outlineLevel="0" collapsed="false">
      <c r="A12" s="18" t="s">
        <v>449</v>
      </c>
      <c r="B12" s="18" t="s">
        <v>440</v>
      </c>
      <c r="C12" s="18" t="s">
        <v>441</v>
      </c>
      <c r="D12" s="18" t="s">
        <v>162</v>
      </c>
      <c r="E12" s="18"/>
      <c r="F12" s="18" t="s">
        <v>300</v>
      </c>
      <c r="G12" s="18"/>
      <c r="H12" s="18" t="s">
        <v>442</v>
      </c>
      <c r="I12" s="18" t="s">
        <v>249</v>
      </c>
      <c r="J12" s="18" t="s">
        <v>265</v>
      </c>
    </row>
    <row r="13" customFormat="false" ht="22.35" hidden="false" customHeight="false" outlineLevel="0" collapsed="false">
      <c r="A13" s="18" t="s">
        <v>450</v>
      </c>
      <c r="B13" s="18" t="s">
        <v>440</v>
      </c>
      <c r="C13" s="18" t="s">
        <v>408</v>
      </c>
      <c r="D13" s="18" t="s">
        <v>15</v>
      </c>
      <c r="E13" s="18" t="s">
        <v>62</v>
      </c>
      <c r="F13" s="18" t="s">
        <v>352</v>
      </c>
      <c r="G13" s="18" t="s">
        <v>15</v>
      </c>
      <c r="H13" s="18" t="s">
        <v>442</v>
      </c>
      <c r="I13" s="18" t="s">
        <v>249</v>
      </c>
      <c r="J13" s="18"/>
    </row>
    <row r="14" customFormat="false" ht="22.35" hidden="false" customHeight="false" outlineLevel="0" collapsed="false">
      <c r="A14" s="18" t="s">
        <v>451</v>
      </c>
      <c r="B14" s="18" t="s">
        <v>440</v>
      </c>
      <c r="C14" s="18" t="s">
        <v>441</v>
      </c>
      <c r="D14" s="18" t="s">
        <v>15</v>
      </c>
      <c r="E14" s="18" t="s">
        <v>60</v>
      </c>
      <c r="F14" s="18" t="s">
        <v>336</v>
      </c>
      <c r="G14" s="18"/>
      <c r="H14" s="18" t="s">
        <v>442</v>
      </c>
      <c r="I14" s="18" t="s">
        <v>249</v>
      </c>
      <c r="J14" s="18" t="s">
        <v>265</v>
      </c>
    </row>
    <row r="15" customFormat="false" ht="22.35" hidden="false" customHeight="false" outlineLevel="0" collapsed="false">
      <c r="A15" s="18" t="s">
        <v>452</v>
      </c>
      <c r="B15" s="18" t="s">
        <v>440</v>
      </c>
      <c r="C15" s="18" t="s">
        <v>441</v>
      </c>
      <c r="D15" s="18" t="s">
        <v>15</v>
      </c>
      <c r="E15" s="18" t="s">
        <v>178</v>
      </c>
      <c r="F15" s="18"/>
      <c r="G15" s="18"/>
      <c r="H15" s="18" t="s">
        <v>442</v>
      </c>
      <c r="I15" s="18" t="s">
        <v>249</v>
      </c>
      <c r="J15" s="18" t="s">
        <v>265</v>
      </c>
    </row>
    <row r="16" customFormat="false" ht="22.35" hidden="false" customHeight="false" outlineLevel="0" collapsed="false">
      <c r="A16" s="18" t="s">
        <v>453</v>
      </c>
      <c r="B16" s="18" t="s">
        <v>440</v>
      </c>
      <c r="C16" s="18" t="s">
        <v>408</v>
      </c>
      <c r="D16" s="18" t="s">
        <v>15</v>
      </c>
      <c r="E16" s="18" t="s">
        <v>20</v>
      </c>
      <c r="F16" s="18" t="s">
        <v>276</v>
      </c>
      <c r="G16" s="18" t="s">
        <v>15</v>
      </c>
      <c r="H16" s="18" t="s">
        <v>442</v>
      </c>
      <c r="I16" s="18" t="s">
        <v>249</v>
      </c>
      <c r="J16" s="18"/>
    </row>
    <row r="17" customFormat="false" ht="22.35" hidden="false" customHeight="false" outlineLevel="0" collapsed="false">
      <c r="A17" s="18" t="s">
        <v>454</v>
      </c>
      <c r="B17" s="18" t="s">
        <v>440</v>
      </c>
      <c r="C17" s="18" t="s">
        <v>408</v>
      </c>
      <c r="D17" s="18" t="s">
        <v>42</v>
      </c>
      <c r="E17" s="18" t="s">
        <v>116</v>
      </c>
      <c r="F17" s="18"/>
      <c r="G17" s="18" t="s">
        <v>50</v>
      </c>
      <c r="H17" s="18" t="s">
        <v>442</v>
      </c>
      <c r="I17" s="18" t="s">
        <v>249</v>
      </c>
      <c r="J17" s="18" t="s">
        <v>256</v>
      </c>
    </row>
    <row r="18" customFormat="false" ht="22.35" hidden="false" customHeight="false" outlineLevel="0" collapsed="false">
      <c r="A18" s="18" t="s">
        <v>455</v>
      </c>
      <c r="B18" s="18" t="s">
        <v>440</v>
      </c>
      <c r="C18" s="18" t="s">
        <v>408</v>
      </c>
      <c r="D18" s="18" t="s">
        <v>15</v>
      </c>
      <c r="E18" s="18" t="s">
        <v>20</v>
      </c>
      <c r="F18" s="18" t="s">
        <v>276</v>
      </c>
      <c r="G18" s="18" t="s">
        <v>15</v>
      </c>
      <c r="H18" s="18" t="s">
        <v>442</v>
      </c>
      <c r="I18" s="18" t="s">
        <v>249</v>
      </c>
      <c r="J18" s="18"/>
    </row>
    <row r="19" customFormat="false" ht="22.35" hidden="false" customHeight="false" outlineLevel="0" collapsed="false">
      <c r="A19" s="18" t="s">
        <v>456</v>
      </c>
      <c r="B19" s="18" t="s">
        <v>440</v>
      </c>
      <c r="C19" s="18" t="s">
        <v>441</v>
      </c>
      <c r="D19" s="18" t="s">
        <v>47</v>
      </c>
      <c r="E19" s="18"/>
      <c r="F19" s="18" t="s">
        <v>257</v>
      </c>
      <c r="G19" s="18"/>
      <c r="H19" s="18" t="s">
        <v>442</v>
      </c>
      <c r="I19" s="18" t="s">
        <v>249</v>
      </c>
      <c r="J19" s="18" t="s">
        <v>265</v>
      </c>
    </row>
    <row r="20" customFormat="false" ht="22.35" hidden="false" customHeight="false" outlineLevel="0" collapsed="false">
      <c r="A20" s="18" t="s">
        <v>457</v>
      </c>
      <c r="B20" s="18" t="s">
        <v>440</v>
      </c>
      <c r="C20" s="18" t="s">
        <v>441</v>
      </c>
      <c r="D20" s="18" t="s">
        <v>162</v>
      </c>
      <c r="E20" s="18" t="s">
        <v>55</v>
      </c>
      <c r="F20" s="18" t="s">
        <v>300</v>
      </c>
      <c r="G20" s="18" t="s">
        <v>25</v>
      </c>
      <c r="H20" s="18" t="s">
        <v>442</v>
      </c>
      <c r="I20" s="18" t="s">
        <v>249</v>
      </c>
      <c r="J20" s="18" t="s">
        <v>256</v>
      </c>
    </row>
    <row r="21" customFormat="false" ht="22.35" hidden="false" customHeight="false" outlineLevel="0" collapsed="false">
      <c r="A21" s="18" t="s">
        <v>458</v>
      </c>
      <c r="B21" s="18" t="s">
        <v>440</v>
      </c>
      <c r="C21" s="18" t="s">
        <v>321</v>
      </c>
      <c r="D21" s="18" t="s">
        <v>15</v>
      </c>
      <c r="E21" s="18"/>
      <c r="F21" s="18"/>
      <c r="G21" s="18"/>
      <c r="H21" s="18" t="s">
        <v>442</v>
      </c>
      <c r="I21" s="18" t="s">
        <v>249</v>
      </c>
      <c r="J21" s="18" t="s">
        <v>265</v>
      </c>
    </row>
    <row r="22" customFormat="false" ht="22.35" hidden="false" customHeight="false" outlineLevel="0" collapsed="false">
      <c r="A22" s="18" t="s">
        <v>459</v>
      </c>
      <c r="B22" s="18" t="s">
        <v>440</v>
      </c>
      <c r="C22" s="18" t="s">
        <v>408</v>
      </c>
      <c r="D22" s="18" t="s">
        <v>15</v>
      </c>
      <c r="E22" s="18" t="s">
        <v>16</v>
      </c>
      <c r="F22" s="18" t="s">
        <v>294</v>
      </c>
      <c r="G22" s="18"/>
      <c r="H22" s="18" t="s">
        <v>442</v>
      </c>
      <c r="I22" s="18" t="s">
        <v>249</v>
      </c>
      <c r="J22" s="18" t="s">
        <v>265</v>
      </c>
    </row>
    <row r="23" customFormat="false" ht="22.35" hidden="false" customHeight="false" outlineLevel="0" collapsed="false">
      <c r="A23" s="18" t="s">
        <v>460</v>
      </c>
      <c r="B23" s="18" t="s">
        <v>440</v>
      </c>
      <c r="C23" s="18" t="s">
        <v>441</v>
      </c>
      <c r="D23" s="18" t="s">
        <v>15</v>
      </c>
      <c r="E23" s="18" t="s">
        <v>85</v>
      </c>
      <c r="F23" s="18" t="s">
        <v>283</v>
      </c>
      <c r="G23" s="18" t="s">
        <v>15</v>
      </c>
      <c r="H23" s="18" t="s">
        <v>442</v>
      </c>
      <c r="I23" s="18" t="s">
        <v>249</v>
      </c>
      <c r="J23" s="18"/>
    </row>
    <row r="24" customFormat="false" ht="22.35" hidden="false" customHeight="false" outlineLevel="0" collapsed="false">
      <c r="A24" s="18" t="s">
        <v>461</v>
      </c>
      <c r="B24" s="18" t="s">
        <v>440</v>
      </c>
      <c r="C24" s="18" t="s">
        <v>358</v>
      </c>
      <c r="D24" s="18" t="s">
        <v>15</v>
      </c>
      <c r="E24" s="18" t="s">
        <v>181</v>
      </c>
      <c r="F24" s="18"/>
      <c r="G24" s="18" t="s">
        <v>15</v>
      </c>
      <c r="H24" s="18" t="s">
        <v>442</v>
      </c>
      <c r="I24" s="18" t="s">
        <v>249</v>
      </c>
      <c r="J24" s="18" t="s">
        <v>462</v>
      </c>
    </row>
    <row r="25" customFormat="false" ht="22.35" hidden="false" customHeight="false" outlineLevel="0" collapsed="false">
      <c r="A25" s="18" t="s">
        <v>463</v>
      </c>
      <c r="B25" s="18" t="s">
        <v>440</v>
      </c>
      <c r="C25" s="18" t="s">
        <v>284</v>
      </c>
      <c r="D25" s="18" t="s">
        <v>47</v>
      </c>
      <c r="E25" s="18" t="s">
        <v>88</v>
      </c>
      <c r="F25" s="18" t="s">
        <v>257</v>
      </c>
      <c r="G25" s="18" t="s">
        <v>50</v>
      </c>
      <c r="H25" s="18" t="s">
        <v>442</v>
      </c>
      <c r="I25" s="18" t="s">
        <v>249</v>
      </c>
      <c r="J25" s="18" t="s">
        <v>256</v>
      </c>
    </row>
    <row r="26" customFormat="false" ht="22.35" hidden="false" customHeight="false" outlineLevel="0" collapsed="false">
      <c r="A26" s="18" t="s">
        <v>464</v>
      </c>
      <c r="B26" s="18" t="s">
        <v>440</v>
      </c>
      <c r="C26" s="18" t="s">
        <v>408</v>
      </c>
      <c r="D26" s="18" t="s">
        <v>25</v>
      </c>
      <c r="E26" s="18" t="s">
        <v>45</v>
      </c>
      <c r="F26" s="18" t="s">
        <v>297</v>
      </c>
      <c r="G26" s="18" t="s">
        <v>25</v>
      </c>
      <c r="H26" s="18" t="s">
        <v>442</v>
      </c>
      <c r="I26" s="18" t="s">
        <v>249</v>
      </c>
      <c r="J26" s="18"/>
    </row>
    <row r="27" customFormat="false" ht="22.35" hidden="false" customHeight="false" outlineLevel="0" collapsed="false">
      <c r="A27" s="18" t="s">
        <v>465</v>
      </c>
      <c r="B27" s="18" t="s">
        <v>440</v>
      </c>
      <c r="C27" s="18" t="s">
        <v>377</v>
      </c>
      <c r="D27" s="18" t="s">
        <v>25</v>
      </c>
      <c r="E27" s="18" t="s">
        <v>55</v>
      </c>
      <c r="F27" s="18" t="s">
        <v>297</v>
      </c>
      <c r="G27" s="18" t="s">
        <v>25</v>
      </c>
      <c r="H27" s="18" t="s">
        <v>442</v>
      </c>
      <c r="I27" s="18" t="s">
        <v>249</v>
      </c>
      <c r="J27" s="18"/>
    </row>
    <row r="28" customFormat="false" ht="22.35" hidden="false" customHeight="false" outlineLevel="0" collapsed="false">
      <c r="A28" s="18" t="s">
        <v>467</v>
      </c>
      <c r="B28" s="18" t="s">
        <v>440</v>
      </c>
      <c r="C28" s="18" t="s">
        <v>408</v>
      </c>
      <c r="D28" s="18" t="s">
        <v>15</v>
      </c>
      <c r="E28" s="18" t="s">
        <v>181</v>
      </c>
      <c r="F28" s="18"/>
      <c r="G28" s="18"/>
      <c r="H28" s="18" t="s">
        <v>442</v>
      </c>
      <c r="I28" s="18" t="s">
        <v>249</v>
      </c>
      <c r="J28" s="18" t="s">
        <v>265</v>
      </c>
    </row>
    <row r="29" customFormat="false" ht="22.35" hidden="false" customHeight="false" outlineLevel="0" collapsed="false">
      <c r="A29" s="18" t="s">
        <v>468</v>
      </c>
      <c r="B29" s="18" t="s">
        <v>440</v>
      </c>
      <c r="C29" s="18" t="s">
        <v>177</v>
      </c>
      <c r="D29" s="18" t="s">
        <v>15</v>
      </c>
      <c r="E29" s="18" t="s">
        <v>178</v>
      </c>
      <c r="F29" s="18"/>
      <c r="G29" s="18" t="s">
        <v>15</v>
      </c>
      <c r="H29" s="18" t="s">
        <v>442</v>
      </c>
      <c r="I29" s="18" t="s">
        <v>249</v>
      </c>
      <c r="J29" s="18"/>
    </row>
    <row r="30" customFormat="false" ht="22.35" hidden="false" customHeight="false" outlineLevel="0" collapsed="false">
      <c r="A30" s="18" t="s">
        <v>470</v>
      </c>
      <c r="B30" s="18" t="s">
        <v>440</v>
      </c>
      <c r="C30" s="18" t="s">
        <v>334</v>
      </c>
      <c r="D30" s="18" t="s">
        <v>15</v>
      </c>
      <c r="E30" s="18" t="s">
        <v>69</v>
      </c>
      <c r="F30" s="18"/>
      <c r="G30" s="18" t="s">
        <v>15</v>
      </c>
      <c r="H30" s="18" t="s">
        <v>442</v>
      </c>
      <c r="I30" s="18" t="s">
        <v>249</v>
      </c>
      <c r="J30" s="18"/>
    </row>
  </sheetData>
  <mergeCells count="1">
    <mergeCell ref="A1:J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5911"/>
    <pageSetUpPr fitToPage="false"/>
  </sheetPr>
  <dimension ref="A1:G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62"/>
    <col collapsed="false" customWidth="true" hidden="false" outlineLevel="0" max="3" min="3" style="0" width="25"/>
    <col collapsed="false" customWidth="true" hidden="false" outlineLevel="0" max="5" min="4" style="0" width="35"/>
    <col collapsed="false" customWidth="true" hidden="false" outlineLevel="0" max="6" min="6" style="0" width="50"/>
    <col collapsed="false" customWidth="true" hidden="false" outlineLevel="0" max="7" min="7" style="0" width="32"/>
  </cols>
  <sheetData>
    <row r="1" customFormat="false" ht="28" hidden="false" customHeight="true" outlineLevel="0" collapsed="false">
      <c r="A1" s="15" t="s">
        <v>486</v>
      </c>
      <c r="B1" s="15"/>
      <c r="C1" s="15"/>
      <c r="D1" s="15"/>
      <c r="E1" s="15"/>
      <c r="F1" s="15"/>
      <c r="G1" s="15"/>
    </row>
    <row r="2" customFormat="false" ht="15" hidden="false" customHeight="false" outlineLevel="0" collapsed="false">
      <c r="A2" s="16" t="s">
        <v>487</v>
      </c>
      <c r="B2" s="16"/>
      <c r="C2" s="16"/>
      <c r="D2" s="16"/>
      <c r="E2" s="16"/>
      <c r="F2" s="16"/>
      <c r="G2" s="16"/>
    </row>
    <row r="4" customFormat="false" ht="34" hidden="false" customHeight="true" outlineLevel="0" collapsed="false">
      <c r="A4" s="17" t="s">
        <v>483</v>
      </c>
      <c r="B4" s="17" t="s">
        <v>488</v>
      </c>
      <c r="C4" s="17" t="s">
        <v>484</v>
      </c>
      <c r="D4" s="17" t="s">
        <v>235</v>
      </c>
      <c r="E4" s="17" t="s">
        <v>225</v>
      </c>
      <c r="F4" s="17" t="s">
        <v>489</v>
      </c>
      <c r="G4" s="17" t="s">
        <v>490</v>
      </c>
    </row>
    <row r="5" customFormat="false" ht="22.35" hidden="false" customHeight="false" outlineLevel="0" collapsed="false">
      <c r="A5" s="18" t="s">
        <v>443</v>
      </c>
      <c r="B5" s="18" t="s">
        <v>265</v>
      </c>
      <c r="C5" s="18" t="s">
        <v>440</v>
      </c>
      <c r="D5" s="18"/>
      <c r="E5" s="18" t="s">
        <v>15</v>
      </c>
      <c r="F5" s="18" t="s">
        <v>442</v>
      </c>
      <c r="G5" s="18" t="s">
        <v>491</v>
      </c>
    </row>
    <row r="6" customFormat="false" ht="22.35" hidden="false" customHeight="false" outlineLevel="0" collapsed="false">
      <c r="A6" s="18" t="s">
        <v>250</v>
      </c>
      <c r="B6" s="18" t="s">
        <v>256</v>
      </c>
      <c r="C6" s="18" t="s">
        <v>243</v>
      </c>
      <c r="D6" s="18" t="s">
        <v>185</v>
      </c>
      <c r="E6" s="18" t="s">
        <v>15</v>
      </c>
      <c r="F6" s="18" t="s">
        <v>255</v>
      </c>
      <c r="G6" s="18" t="s">
        <v>492</v>
      </c>
    </row>
    <row r="7" customFormat="false" ht="22.35" hidden="false" customHeight="false" outlineLevel="0" collapsed="false">
      <c r="A7" s="18" t="s">
        <v>260</v>
      </c>
      <c r="B7" s="18" t="s">
        <v>265</v>
      </c>
      <c r="C7" s="18" t="s">
        <v>243</v>
      </c>
      <c r="D7" s="18"/>
      <c r="E7" s="18" t="s">
        <v>57</v>
      </c>
      <c r="F7" s="18" t="s">
        <v>255</v>
      </c>
      <c r="G7" s="18" t="s">
        <v>491</v>
      </c>
    </row>
    <row r="8" customFormat="false" ht="22.35" hidden="false" customHeight="false" outlineLevel="0" collapsed="false">
      <c r="A8" s="18" t="s">
        <v>445</v>
      </c>
      <c r="B8" s="18" t="s">
        <v>265</v>
      </c>
      <c r="C8" s="18" t="s">
        <v>440</v>
      </c>
      <c r="D8" s="18"/>
      <c r="E8" s="18" t="s">
        <v>15</v>
      </c>
      <c r="F8" s="18" t="s">
        <v>442</v>
      </c>
      <c r="G8" s="18" t="s">
        <v>491</v>
      </c>
    </row>
    <row r="9" customFormat="false" ht="22.35" hidden="false" customHeight="false" outlineLevel="0" collapsed="false">
      <c r="A9" s="18" t="s">
        <v>472</v>
      </c>
      <c r="B9" s="18" t="s">
        <v>474</v>
      </c>
      <c r="C9" s="18" t="s">
        <v>473</v>
      </c>
      <c r="D9" s="18" t="s">
        <v>170</v>
      </c>
      <c r="E9" s="18"/>
      <c r="F9" s="18"/>
      <c r="G9" s="18" t="s">
        <v>493</v>
      </c>
    </row>
    <row r="10" customFormat="false" ht="22.35" hidden="false" customHeight="false" outlineLevel="0" collapsed="false">
      <c r="A10" s="18" t="s">
        <v>475</v>
      </c>
      <c r="B10" s="18" t="s">
        <v>474</v>
      </c>
      <c r="C10" s="18" t="s">
        <v>473</v>
      </c>
      <c r="D10" s="18" t="s">
        <v>15</v>
      </c>
      <c r="E10" s="18"/>
      <c r="F10" s="18"/>
      <c r="G10" s="18" t="s">
        <v>493</v>
      </c>
    </row>
    <row r="11" customFormat="false" ht="22.35" hidden="false" customHeight="false" outlineLevel="0" collapsed="false">
      <c r="A11" s="18" t="s">
        <v>283</v>
      </c>
      <c r="B11" s="18" t="s">
        <v>286</v>
      </c>
      <c r="C11" s="18" t="s">
        <v>243</v>
      </c>
      <c r="D11" s="18" t="s">
        <v>15</v>
      </c>
      <c r="E11" s="18" t="s">
        <v>15</v>
      </c>
      <c r="F11" s="18" t="s">
        <v>255</v>
      </c>
      <c r="G11" s="18" t="s">
        <v>494</v>
      </c>
    </row>
    <row r="12" customFormat="false" ht="15" hidden="false" customHeight="false" outlineLevel="0" collapsed="false">
      <c r="A12" s="18" t="s">
        <v>287</v>
      </c>
      <c r="B12" s="18" t="s">
        <v>265</v>
      </c>
      <c r="C12" s="18" t="s">
        <v>243</v>
      </c>
      <c r="D12" s="18"/>
      <c r="E12" s="18" t="s">
        <v>15</v>
      </c>
      <c r="F12" s="18" t="s">
        <v>270</v>
      </c>
      <c r="G12" s="18" t="s">
        <v>491</v>
      </c>
    </row>
    <row r="13" customFormat="false" ht="22.35" hidden="false" customHeight="false" outlineLevel="0" collapsed="false">
      <c r="A13" s="18" t="s">
        <v>447</v>
      </c>
      <c r="B13" s="18" t="s">
        <v>265</v>
      </c>
      <c r="C13" s="18" t="s">
        <v>440</v>
      </c>
      <c r="D13" s="18"/>
      <c r="E13" s="18" t="s">
        <v>15</v>
      </c>
      <c r="F13" s="18" t="s">
        <v>442</v>
      </c>
      <c r="G13" s="18" t="s">
        <v>491</v>
      </c>
    </row>
    <row r="14" customFormat="false" ht="22.35" hidden="false" customHeight="false" outlineLevel="0" collapsed="false">
      <c r="A14" s="18" t="s">
        <v>449</v>
      </c>
      <c r="B14" s="18" t="s">
        <v>265</v>
      </c>
      <c r="C14" s="18" t="s">
        <v>440</v>
      </c>
      <c r="D14" s="18"/>
      <c r="E14" s="18" t="s">
        <v>162</v>
      </c>
      <c r="F14" s="18" t="s">
        <v>442</v>
      </c>
      <c r="G14" s="18" t="s">
        <v>491</v>
      </c>
    </row>
    <row r="15" customFormat="false" ht="22.35" hidden="false" customHeight="false" outlineLevel="0" collapsed="false">
      <c r="A15" s="18" t="s">
        <v>318</v>
      </c>
      <c r="B15" s="18" t="s">
        <v>286</v>
      </c>
      <c r="C15" s="18" t="s">
        <v>243</v>
      </c>
      <c r="D15" s="18" t="s">
        <v>15</v>
      </c>
      <c r="E15" s="18" t="s">
        <v>15</v>
      </c>
      <c r="F15" s="18" t="s">
        <v>255</v>
      </c>
      <c r="G15" s="18" t="s">
        <v>494</v>
      </c>
    </row>
    <row r="16" customFormat="false" ht="22.35" hidden="false" customHeight="false" outlineLevel="0" collapsed="false">
      <c r="A16" s="18" t="s">
        <v>325</v>
      </c>
      <c r="B16" s="18" t="s">
        <v>265</v>
      </c>
      <c r="C16" s="18" t="s">
        <v>243</v>
      </c>
      <c r="D16" s="18"/>
      <c r="E16" s="18" t="s">
        <v>162</v>
      </c>
      <c r="F16" s="18" t="s">
        <v>255</v>
      </c>
      <c r="G16" s="18" t="s">
        <v>491</v>
      </c>
    </row>
    <row r="17" customFormat="false" ht="22.35" hidden="false" customHeight="false" outlineLevel="0" collapsed="false">
      <c r="A17" s="18" t="s">
        <v>327</v>
      </c>
      <c r="B17" s="18" t="s">
        <v>332</v>
      </c>
      <c r="C17" s="18" t="s">
        <v>243</v>
      </c>
      <c r="D17" s="18" t="s">
        <v>15</v>
      </c>
      <c r="E17" s="18" t="s">
        <v>15</v>
      </c>
      <c r="F17" s="18" t="s">
        <v>255</v>
      </c>
      <c r="G17" s="18" t="s">
        <v>495</v>
      </c>
    </row>
    <row r="18" customFormat="false" ht="22.35" hidden="false" customHeight="false" outlineLevel="0" collapsed="false">
      <c r="A18" s="18" t="s">
        <v>451</v>
      </c>
      <c r="B18" s="18" t="s">
        <v>265</v>
      </c>
      <c r="C18" s="18" t="s">
        <v>440</v>
      </c>
      <c r="D18" s="18"/>
      <c r="E18" s="18" t="s">
        <v>15</v>
      </c>
      <c r="F18" s="18" t="s">
        <v>442</v>
      </c>
      <c r="G18" s="18" t="s">
        <v>491</v>
      </c>
    </row>
    <row r="19" customFormat="false" ht="22.35" hidden="false" customHeight="false" outlineLevel="0" collapsed="false">
      <c r="A19" s="18" t="s">
        <v>341</v>
      </c>
      <c r="B19" s="18" t="s">
        <v>332</v>
      </c>
      <c r="C19" s="18" t="s">
        <v>243</v>
      </c>
      <c r="D19" s="18" t="s">
        <v>25</v>
      </c>
      <c r="E19" s="18" t="s">
        <v>25</v>
      </c>
      <c r="F19" s="18" t="s">
        <v>255</v>
      </c>
      <c r="G19" s="18" t="s">
        <v>495</v>
      </c>
    </row>
    <row r="20" customFormat="false" ht="22.35" hidden="false" customHeight="false" outlineLevel="0" collapsed="false">
      <c r="A20" s="18" t="s">
        <v>452</v>
      </c>
      <c r="B20" s="18" t="s">
        <v>265</v>
      </c>
      <c r="C20" s="18" t="s">
        <v>440</v>
      </c>
      <c r="D20" s="18"/>
      <c r="E20" s="18" t="s">
        <v>15</v>
      </c>
      <c r="F20" s="18" t="s">
        <v>442</v>
      </c>
      <c r="G20" s="18" t="s">
        <v>491</v>
      </c>
    </row>
    <row r="21" customFormat="false" ht="22.35" hidden="false" customHeight="false" outlineLevel="0" collapsed="false">
      <c r="A21" s="18" t="s">
        <v>294</v>
      </c>
      <c r="B21" s="18" t="s">
        <v>332</v>
      </c>
      <c r="C21" s="18" t="s">
        <v>243</v>
      </c>
      <c r="D21" s="18" t="s">
        <v>15</v>
      </c>
      <c r="E21" s="18" t="s">
        <v>15</v>
      </c>
      <c r="F21" s="18" t="s">
        <v>255</v>
      </c>
      <c r="G21" s="18" t="s">
        <v>495</v>
      </c>
    </row>
    <row r="22" customFormat="false" ht="15" hidden="false" customHeight="false" outlineLevel="0" collapsed="false">
      <c r="A22" s="18" t="s">
        <v>347</v>
      </c>
      <c r="B22" s="18" t="s">
        <v>265</v>
      </c>
      <c r="C22" s="18" t="s">
        <v>243</v>
      </c>
      <c r="D22" s="18"/>
      <c r="E22" s="18" t="s">
        <v>15</v>
      </c>
      <c r="F22" s="18" t="s">
        <v>270</v>
      </c>
      <c r="G22" s="18" t="s">
        <v>491</v>
      </c>
    </row>
    <row r="23" customFormat="false" ht="15" hidden="false" customHeight="false" outlineLevel="0" collapsed="false">
      <c r="A23" s="18" t="s">
        <v>351</v>
      </c>
      <c r="B23" s="18" t="s">
        <v>332</v>
      </c>
      <c r="C23" s="18" t="s">
        <v>243</v>
      </c>
      <c r="D23" s="18" t="s">
        <v>15</v>
      </c>
      <c r="E23" s="18" t="s">
        <v>15</v>
      </c>
      <c r="F23" s="18" t="s">
        <v>270</v>
      </c>
      <c r="G23" s="18" t="s">
        <v>495</v>
      </c>
    </row>
    <row r="24" customFormat="false" ht="22.35" hidden="false" customHeight="false" outlineLevel="0" collapsed="false">
      <c r="A24" s="18" t="s">
        <v>454</v>
      </c>
      <c r="B24" s="18" t="s">
        <v>256</v>
      </c>
      <c r="C24" s="18" t="s">
        <v>440</v>
      </c>
      <c r="D24" s="18" t="s">
        <v>50</v>
      </c>
      <c r="E24" s="18" t="s">
        <v>42</v>
      </c>
      <c r="F24" s="18" t="s">
        <v>442</v>
      </c>
      <c r="G24" s="18" t="s">
        <v>492</v>
      </c>
    </row>
    <row r="25" customFormat="false" ht="22.35" hidden="false" customHeight="false" outlineLevel="0" collapsed="false">
      <c r="A25" s="18" t="s">
        <v>276</v>
      </c>
      <c r="B25" s="18" t="s">
        <v>332</v>
      </c>
      <c r="C25" s="18" t="s">
        <v>243</v>
      </c>
      <c r="D25" s="18" t="s">
        <v>15</v>
      </c>
      <c r="E25" s="18" t="s">
        <v>15</v>
      </c>
      <c r="F25" s="18" t="s">
        <v>255</v>
      </c>
      <c r="G25" s="18" t="s">
        <v>495</v>
      </c>
    </row>
    <row r="26" customFormat="false" ht="15" hidden="false" customHeight="false" outlineLevel="0" collapsed="false">
      <c r="A26" s="18" t="s">
        <v>367</v>
      </c>
      <c r="B26" s="18" t="s">
        <v>265</v>
      </c>
      <c r="C26" s="18" t="s">
        <v>243</v>
      </c>
      <c r="D26" s="18"/>
      <c r="E26" s="18" t="s">
        <v>25</v>
      </c>
      <c r="F26" s="18" t="s">
        <v>270</v>
      </c>
      <c r="G26" s="18" t="s">
        <v>491</v>
      </c>
    </row>
    <row r="27" customFormat="false" ht="22.35" hidden="false" customHeight="false" outlineLevel="0" collapsed="false">
      <c r="A27" s="18" t="s">
        <v>456</v>
      </c>
      <c r="B27" s="18" t="s">
        <v>265</v>
      </c>
      <c r="C27" s="18" t="s">
        <v>440</v>
      </c>
      <c r="D27" s="18"/>
      <c r="E27" s="18" t="s">
        <v>47</v>
      </c>
      <c r="F27" s="18" t="s">
        <v>442</v>
      </c>
      <c r="G27" s="18" t="s">
        <v>491</v>
      </c>
    </row>
    <row r="28" customFormat="false" ht="22.35" hidden="false" customHeight="false" outlineLevel="0" collapsed="false">
      <c r="A28" s="18" t="s">
        <v>476</v>
      </c>
      <c r="B28" s="18" t="s">
        <v>474</v>
      </c>
      <c r="C28" s="18" t="s">
        <v>473</v>
      </c>
      <c r="D28" s="18" t="s">
        <v>15</v>
      </c>
      <c r="E28" s="18"/>
      <c r="F28" s="18"/>
      <c r="G28" s="18" t="s">
        <v>493</v>
      </c>
    </row>
    <row r="29" customFormat="false" ht="15" hidden="false" customHeight="false" outlineLevel="0" collapsed="false">
      <c r="A29" s="18" t="s">
        <v>370</v>
      </c>
      <c r="B29" s="18" t="s">
        <v>256</v>
      </c>
      <c r="C29" s="18" t="s">
        <v>243</v>
      </c>
      <c r="D29" s="18" t="s">
        <v>15</v>
      </c>
      <c r="E29" s="18" t="s">
        <v>42</v>
      </c>
      <c r="F29" s="18" t="s">
        <v>270</v>
      </c>
      <c r="G29" s="18" t="s">
        <v>492</v>
      </c>
    </row>
    <row r="30" customFormat="false" ht="22.35" hidden="false" customHeight="false" outlineLevel="0" collapsed="false">
      <c r="A30" s="18" t="s">
        <v>457</v>
      </c>
      <c r="B30" s="18" t="s">
        <v>256</v>
      </c>
      <c r="C30" s="18" t="s">
        <v>440</v>
      </c>
      <c r="D30" s="18" t="s">
        <v>25</v>
      </c>
      <c r="E30" s="18" t="s">
        <v>162</v>
      </c>
      <c r="F30" s="18" t="s">
        <v>442</v>
      </c>
      <c r="G30" s="18" t="s">
        <v>492</v>
      </c>
    </row>
    <row r="31" customFormat="false" ht="32.8" hidden="false" customHeight="false" outlineLevel="0" collapsed="false">
      <c r="A31" s="18" t="s">
        <v>434</v>
      </c>
      <c r="B31" s="18" t="s">
        <v>265</v>
      </c>
      <c r="C31" s="18" t="s">
        <v>435</v>
      </c>
      <c r="D31" s="18"/>
      <c r="E31" s="18" t="s">
        <v>15</v>
      </c>
      <c r="F31" s="18" t="s">
        <v>436</v>
      </c>
      <c r="G31" s="18" t="s">
        <v>491</v>
      </c>
    </row>
    <row r="32" customFormat="false" ht="32.8" hidden="false" customHeight="false" outlineLevel="0" collapsed="false">
      <c r="A32" s="18" t="s">
        <v>434</v>
      </c>
      <c r="B32" s="18" t="s">
        <v>496</v>
      </c>
      <c r="C32" s="18" t="s">
        <v>435</v>
      </c>
      <c r="D32" s="18"/>
      <c r="E32" s="18" t="s">
        <v>15</v>
      </c>
      <c r="F32" s="18" t="s">
        <v>436</v>
      </c>
      <c r="G32" s="18" t="s">
        <v>497</v>
      </c>
    </row>
    <row r="33" customFormat="false" ht="22.35" hidden="false" customHeight="false" outlineLevel="0" collapsed="false">
      <c r="A33" s="18" t="s">
        <v>477</v>
      </c>
      <c r="B33" s="18" t="s">
        <v>474</v>
      </c>
      <c r="C33" s="18" t="s">
        <v>473</v>
      </c>
      <c r="D33" s="18" t="s">
        <v>15</v>
      </c>
      <c r="E33" s="18"/>
      <c r="F33" s="18"/>
      <c r="G33" s="18" t="s">
        <v>493</v>
      </c>
    </row>
    <row r="34" customFormat="false" ht="22.35" hidden="false" customHeight="false" outlineLevel="0" collapsed="false">
      <c r="A34" s="18" t="s">
        <v>458</v>
      </c>
      <c r="B34" s="18" t="s">
        <v>265</v>
      </c>
      <c r="C34" s="18" t="s">
        <v>440</v>
      </c>
      <c r="D34" s="18"/>
      <c r="E34" s="18" t="s">
        <v>15</v>
      </c>
      <c r="F34" s="18" t="s">
        <v>442</v>
      </c>
      <c r="G34" s="18" t="s">
        <v>491</v>
      </c>
    </row>
    <row r="35" customFormat="false" ht="22.35" hidden="false" customHeight="false" outlineLevel="0" collapsed="false">
      <c r="A35" s="18" t="s">
        <v>459</v>
      </c>
      <c r="B35" s="18" t="s">
        <v>265</v>
      </c>
      <c r="C35" s="18" t="s">
        <v>440</v>
      </c>
      <c r="D35" s="18"/>
      <c r="E35" s="18" t="s">
        <v>15</v>
      </c>
      <c r="F35" s="18" t="s">
        <v>442</v>
      </c>
      <c r="G35" s="18" t="s">
        <v>491</v>
      </c>
    </row>
    <row r="36" customFormat="false" ht="22.35" hidden="false" customHeight="false" outlineLevel="0" collapsed="false">
      <c r="A36" s="18" t="s">
        <v>478</v>
      </c>
      <c r="B36" s="18" t="s">
        <v>474</v>
      </c>
      <c r="C36" s="18" t="s">
        <v>473</v>
      </c>
      <c r="D36" s="18" t="s">
        <v>15</v>
      </c>
      <c r="E36" s="18"/>
      <c r="F36" s="18"/>
      <c r="G36" s="18" t="s">
        <v>493</v>
      </c>
    </row>
    <row r="37" customFormat="false" ht="22.35" hidden="false" customHeight="false" outlineLevel="0" collapsed="false">
      <c r="A37" s="18" t="s">
        <v>461</v>
      </c>
      <c r="B37" s="18" t="s">
        <v>462</v>
      </c>
      <c r="C37" s="18" t="s">
        <v>440</v>
      </c>
      <c r="D37" s="18" t="s">
        <v>15</v>
      </c>
      <c r="E37" s="18" t="s">
        <v>15</v>
      </c>
      <c r="F37" s="18" t="s">
        <v>442</v>
      </c>
      <c r="G37" s="18" t="s">
        <v>494</v>
      </c>
    </row>
    <row r="38" customFormat="false" ht="15" hidden="false" customHeight="false" outlineLevel="0" collapsed="false">
      <c r="A38" s="18" t="s">
        <v>395</v>
      </c>
      <c r="B38" s="18" t="s">
        <v>256</v>
      </c>
      <c r="C38" s="18" t="s">
        <v>243</v>
      </c>
      <c r="D38" s="18" t="s">
        <v>25</v>
      </c>
      <c r="E38" s="18" t="s">
        <v>47</v>
      </c>
      <c r="F38" s="18" t="s">
        <v>270</v>
      </c>
      <c r="G38" s="18" t="s">
        <v>492</v>
      </c>
    </row>
    <row r="39" customFormat="false" ht="22.35" hidden="false" customHeight="false" outlineLevel="0" collapsed="false">
      <c r="A39" s="18" t="s">
        <v>479</v>
      </c>
      <c r="B39" s="18" t="s">
        <v>474</v>
      </c>
      <c r="C39" s="18" t="s">
        <v>473</v>
      </c>
      <c r="D39" s="18" t="s">
        <v>15</v>
      </c>
      <c r="E39" s="18"/>
      <c r="F39" s="18"/>
      <c r="G39" s="18" t="s">
        <v>493</v>
      </c>
    </row>
    <row r="40" customFormat="false" ht="22.35" hidden="false" customHeight="false" outlineLevel="0" collapsed="false">
      <c r="A40" s="18" t="s">
        <v>399</v>
      </c>
      <c r="B40" s="18" t="s">
        <v>332</v>
      </c>
      <c r="C40" s="18" t="s">
        <v>243</v>
      </c>
      <c r="D40" s="18" t="s">
        <v>404</v>
      </c>
      <c r="E40" s="18" t="s">
        <v>139</v>
      </c>
      <c r="F40" s="18" t="s">
        <v>248</v>
      </c>
      <c r="G40" s="18" t="s">
        <v>495</v>
      </c>
    </row>
    <row r="41" customFormat="false" ht="22.35" hidden="false" customHeight="false" outlineLevel="0" collapsed="false">
      <c r="A41" s="18" t="s">
        <v>463</v>
      </c>
      <c r="B41" s="18" t="s">
        <v>256</v>
      </c>
      <c r="C41" s="18" t="s">
        <v>440</v>
      </c>
      <c r="D41" s="18" t="s">
        <v>50</v>
      </c>
      <c r="E41" s="18" t="s">
        <v>47</v>
      </c>
      <c r="F41" s="18" t="s">
        <v>442</v>
      </c>
      <c r="G41" s="18" t="s">
        <v>492</v>
      </c>
    </row>
    <row r="42" customFormat="false" ht="15" hidden="false" customHeight="false" outlineLevel="0" collapsed="false">
      <c r="A42" s="18" t="s">
        <v>406</v>
      </c>
      <c r="B42" s="18" t="s">
        <v>256</v>
      </c>
      <c r="C42" s="18" t="s">
        <v>243</v>
      </c>
      <c r="D42" s="18" t="s">
        <v>25</v>
      </c>
      <c r="E42" s="18" t="s">
        <v>47</v>
      </c>
      <c r="F42" s="18" t="s">
        <v>270</v>
      </c>
      <c r="G42" s="18" t="s">
        <v>492</v>
      </c>
    </row>
    <row r="43" customFormat="false" ht="32.8" hidden="false" customHeight="false" outlineLevel="0" collapsed="false">
      <c r="A43" s="18" t="s">
        <v>438</v>
      </c>
      <c r="B43" s="18" t="s">
        <v>265</v>
      </c>
      <c r="C43" s="18" t="s">
        <v>435</v>
      </c>
      <c r="D43" s="18"/>
      <c r="E43" s="18" t="s">
        <v>218</v>
      </c>
      <c r="F43" s="18" t="s">
        <v>436</v>
      </c>
      <c r="G43" s="18" t="s">
        <v>491</v>
      </c>
    </row>
    <row r="44" customFormat="false" ht="32.8" hidden="false" customHeight="false" outlineLevel="0" collapsed="false">
      <c r="A44" s="18" t="s">
        <v>438</v>
      </c>
      <c r="B44" s="18" t="s">
        <v>496</v>
      </c>
      <c r="C44" s="18" t="s">
        <v>435</v>
      </c>
      <c r="D44" s="18"/>
      <c r="E44" s="18" t="s">
        <v>218</v>
      </c>
      <c r="F44" s="18" t="s">
        <v>436</v>
      </c>
      <c r="G44" s="18" t="s">
        <v>497</v>
      </c>
    </row>
    <row r="45" customFormat="false" ht="22.35" hidden="false" customHeight="false" outlineLevel="0" collapsed="false">
      <c r="A45" s="18" t="s">
        <v>409</v>
      </c>
      <c r="B45" s="18" t="s">
        <v>498</v>
      </c>
      <c r="C45" s="18" t="s">
        <v>243</v>
      </c>
      <c r="D45" s="18" t="s">
        <v>50</v>
      </c>
      <c r="E45" s="18" t="s">
        <v>25</v>
      </c>
      <c r="F45" s="18" t="s">
        <v>255</v>
      </c>
      <c r="G45" s="18" t="s">
        <v>492</v>
      </c>
    </row>
    <row r="46" customFormat="false" ht="22.35" hidden="false" customHeight="false" outlineLevel="0" collapsed="false">
      <c r="A46" s="18" t="s">
        <v>409</v>
      </c>
      <c r="B46" s="18" t="s">
        <v>256</v>
      </c>
      <c r="C46" s="18" t="s">
        <v>243</v>
      </c>
      <c r="D46" s="18" t="s">
        <v>50</v>
      </c>
      <c r="E46" s="18" t="s">
        <v>25</v>
      </c>
      <c r="F46" s="18" t="s">
        <v>255</v>
      </c>
      <c r="G46" s="18" t="s">
        <v>492</v>
      </c>
    </row>
    <row r="47" customFormat="false" ht="22.35" hidden="false" customHeight="false" outlineLevel="0" collapsed="false">
      <c r="A47" s="18" t="s">
        <v>409</v>
      </c>
      <c r="B47" s="18" t="s">
        <v>427</v>
      </c>
      <c r="C47" s="18" t="s">
        <v>243</v>
      </c>
      <c r="D47" s="18" t="s">
        <v>50</v>
      </c>
      <c r="E47" s="18" t="s">
        <v>25</v>
      </c>
      <c r="F47" s="18" t="s">
        <v>255</v>
      </c>
      <c r="G47" s="18" t="s">
        <v>495</v>
      </c>
    </row>
    <row r="48" customFormat="false" ht="15" hidden="false" customHeight="false" outlineLevel="0" collapsed="false">
      <c r="A48" s="18" t="s">
        <v>416</v>
      </c>
      <c r="B48" s="18" t="s">
        <v>265</v>
      </c>
      <c r="C48" s="18" t="s">
        <v>243</v>
      </c>
      <c r="D48" s="18"/>
      <c r="E48" s="18" t="s">
        <v>162</v>
      </c>
      <c r="F48" s="18" t="s">
        <v>270</v>
      </c>
      <c r="G48" s="18" t="s">
        <v>491</v>
      </c>
    </row>
    <row r="49" customFormat="false" ht="22.35" hidden="false" customHeight="false" outlineLevel="0" collapsed="false">
      <c r="A49" s="18" t="s">
        <v>349</v>
      </c>
      <c r="B49" s="18" t="s">
        <v>332</v>
      </c>
      <c r="C49" s="18" t="s">
        <v>243</v>
      </c>
      <c r="D49" s="18" t="s">
        <v>15</v>
      </c>
      <c r="E49" s="18" t="s">
        <v>15</v>
      </c>
      <c r="F49" s="18" t="s">
        <v>255</v>
      </c>
      <c r="G49" s="18" t="s">
        <v>495</v>
      </c>
    </row>
    <row r="50" customFormat="false" ht="22.35" hidden="false" customHeight="false" outlineLevel="0" collapsed="false">
      <c r="A50" s="18" t="s">
        <v>420</v>
      </c>
      <c r="B50" s="18" t="s">
        <v>424</v>
      </c>
      <c r="C50" s="18" t="s">
        <v>243</v>
      </c>
      <c r="D50" s="18" t="s">
        <v>42</v>
      </c>
      <c r="E50" s="18" t="s">
        <v>42</v>
      </c>
      <c r="F50" s="18" t="s">
        <v>255</v>
      </c>
      <c r="G50" s="18" t="s">
        <v>494</v>
      </c>
    </row>
    <row r="51" customFormat="false" ht="22.35" hidden="false" customHeight="false" outlineLevel="0" collapsed="false">
      <c r="A51" s="18" t="s">
        <v>425</v>
      </c>
      <c r="B51" s="18" t="s">
        <v>427</v>
      </c>
      <c r="C51" s="18" t="s">
        <v>243</v>
      </c>
      <c r="D51" s="18" t="s">
        <v>25</v>
      </c>
      <c r="E51" s="18" t="s">
        <v>25</v>
      </c>
      <c r="F51" s="18" t="s">
        <v>255</v>
      </c>
      <c r="G51" s="18" t="s">
        <v>495</v>
      </c>
    </row>
    <row r="52" customFormat="false" ht="22.35" hidden="false" customHeight="false" outlineLevel="0" collapsed="false">
      <c r="A52" s="18" t="s">
        <v>467</v>
      </c>
      <c r="B52" s="18" t="s">
        <v>265</v>
      </c>
      <c r="C52" s="18" t="s">
        <v>440</v>
      </c>
      <c r="D52" s="18"/>
      <c r="E52" s="18" t="s">
        <v>15</v>
      </c>
      <c r="F52" s="18" t="s">
        <v>442</v>
      </c>
      <c r="G52" s="18" t="s">
        <v>491</v>
      </c>
    </row>
    <row r="53" customFormat="false" ht="15" hidden="false" customHeight="false" outlineLevel="0" collapsed="false">
      <c r="A53" s="18" t="s">
        <v>429</v>
      </c>
      <c r="B53" s="18" t="s">
        <v>265</v>
      </c>
      <c r="C53" s="18" t="s">
        <v>243</v>
      </c>
      <c r="D53" s="18"/>
      <c r="E53" s="18" t="s">
        <v>170</v>
      </c>
      <c r="F53" s="18" t="s">
        <v>248</v>
      </c>
      <c r="G53" s="18" t="s">
        <v>491</v>
      </c>
    </row>
    <row r="54" customFormat="false" ht="22.35" hidden="false" customHeight="false" outlineLevel="0" collapsed="false">
      <c r="A54" s="18" t="s">
        <v>269</v>
      </c>
      <c r="B54" s="18" t="s">
        <v>332</v>
      </c>
      <c r="C54" s="18" t="s">
        <v>243</v>
      </c>
      <c r="D54" s="18" t="s">
        <v>25</v>
      </c>
      <c r="E54" s="18" t="s">
        <v>25</v>
      </c>
      <c r="F54" s="18" t="s">
        <v>255</v>
      </c>
      <c r="G54" s="18" t="s">
        <v>495</v>
      </c>
    </row>
    <row r="55" customFormat="false" ht="22.35" hidden="false" customHeight="false" outlineLevel="0" collapsed="false">
      <c r="A55" s="18" t="s">
        <v>431</v>
      </c>
      <c r="B55" s="18" t="s">
        <v>286</v>
      </c>
      <c r="C55" s="18" t="s">
        <v>243</v>
      </c>
      <c r="D55" s="18" t="s">
        <v>25</v>
      </c>
      <c r="E55" s="18" t="s">
        <v>25</v>
      </c>
      <c r="F55" s="18" t="s">
        <v>255</v>
      </c>
      <c r="G55" s="18" t="s">
        <v>494</v>
      </c>
    </row>
    <row r="56" customFormat="false" ht="22.35" hidden="false" customHeight="false" outlineLevel="0" collapsed="false">
      <c r="A56" s="18" t="s">
        <v>480</v>
      </c>
      <c r="B56" s="18" t="s">
        <v>474</v>
      </c>
      <c r="C56" s="18" t="s">
        <v>473</v>
      </c>
      <c r="D56" s="18" t="s">
        <v>50</v>
      </c>
      <c r="E56" s="18"/>
      <c r="F56" s="18"/>
      <c r="G56" s="18" t="s">
        <v>493</v>
      </c>
    </row>
    <row r="57" customFormat="false" ht="22.35" hidden="false" customHeight="false" outlineLevel="0" collapsed="false">
      <c r="A57" s="18" t="s">
        <v>481</v>
      </c>
      <c r="B57" s="18" t="s">
        <v>474</v>
      </c>
      <c r="C57" s="18" t="s">
        <v>473</v>
      </c>
      <c r="D57" s="18" t="s">
        <v>15</v>
      </c>
      <c r="E57" s="18"/>
      <c r="F57" s="18"/>
      <c r="G57" s="18" t="s">
        <v>493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78"/>
    <col collapsed="false" customWidth="true" hidden="false" outlineLevel="0" max="3" min="3" style="0" width="62"/>
    <col collapsed="false" customWidth="true" hidden="false" outlineLevel="0" max="4" min="4" style="0" width="16"/>
  </cols>
  <sheetData>
    <row r="1" customFormat="false" ht="28" hidden="false" customHeight="true" outlineLevel="0" collapsed="false">
      <c r="A1" s="15" t="s">
        <v>499</v>
      </c>
      <c r="B1" s="15"/>
      <c r="C1" s="15"/>
      <c r="D1" s="15"/>
    </row>
    <row r="3" customFormat="false" ht="34" hidden="false" customHeight="true" outlineLevel="0" collapsed="false">
      <c r="A3" s="17" t="s">
        <v>500</v>
      </c>
      <c r="B3" s="17" t="s">
        <v>501</v>
      </c>
      <c r="C3" s="17" t="s">
        <v>502</v>
      </c>
      <c r="D3" s="17" t="s">
        <v>503</v>
      </c>
    </row>
    <row r="4" customFormat="false" ht="15" hidden="false" customHeight="false" outlineLevel="0" collapsed="false">
      <c r="A4" s="18" t="s">
        <v>504</v>
      </c>
      <c r="B4" s="18" t="s">
        <v>254</v>
      </c>
      <c r="C4" s="18" t="s">
        <v>505</v>
      </c>
      <c r="D4" s="18" t="s">
        <v>249</v>
      </c>
    </row>
    <row r="5" customFormat="false" ht="15" hidden="false" customHeight="false" outlineLevel="0" collapsed="false">
      <c r="A5" s="18" t="s">
        <v>506</v>
      </c>
      <c r="B5" s="18" t="s">
        <v>255</v>
      </c>
      <c r="C5" s="18" t="s">
        <v>507</v>
      </c>
      <c r="D5" s="18" t="s">
        <v>249</v>
      </c>
    </row>
    <row r="6" customFormat="false" ht="15" hidden="false" customHeight="false" outlineLevel="0" collapsed="false">
      <c r="A6" s="18" t="s">
        <v>133</v>
      </c>
      <c r="B6" s="18" t="s">
        <v>248</v>
      </c>
      <c r="C6" s="18" t="s">
        <v>508</v>
      </c>
      <c r="D6" s="18" t="s">
        <v>249</v>
      </c>
    </row>
    <row r="7" customFormat="false" ht="15" hidden="false" customHeight="false" outlineLevel="0" collapsed="false">
      <c r="A7" s="18" t="s">
        <v>509</v>
      </c>
      <c r="B7" s="18" t="s">
        <v>270</v>
      </c>
      <c r="C7" s="18" t="s">
        <v>510</v>
      </c>
      <c r="D7" s="18" t="s">
        <v>249</v>
      </c>
    </row>
    <row r="8" customFormat="false" ht="15" hidden="false" customHeight="false" outlineLevel="0" collapsed="false">
      <c r="A8" s="18" t="s">
        <v>214</v>
      </c>
      <c r="B8" s="18" t="s">
        <v>442</v>
      </c>
      <c r="C8" s="18" t="s">
        <v>511</v>
      </c>
      <c r="D8" s="18" t="s">
        <v>249</v>
      </c>
    </row>
    <row r="11" customFormat="false" ht="34" hidden="false" customHeight="true" outlineLevel="0" collapsed="false">
      <c r="A11" s="17" t="s">
        <v>512</v>
      </c>
      <c r="B11" s="17" t="s">
        <v>513</v>
      </c>
    </row>
    <row r="12" customFormat="false" ht="22.35" hidden="false" customHeight="false" outlineLevel="0" collapsed="false">
      <c r="A12" s="18" t="s">
        <v>514</v>
      </c>
      <c r="B12" s="18" t="s">
        <v>515</v>
      </c>
    </row>
    <row r="13" customFormat="false" ht="22.35" hidden="false" customHeight="false" outlineLevel="0" collapsed="false">
      <c r="A13" s="18" t="s">
        <v>516</v>
      </c>
      <c r="B13" s="18" t="s">
        <v>517</v>
      </c>
    </row>
    <row r="14" customFormat="false" ht="22.35" hidden="false" customHeight="false" outlineLevel="0" collapsed="false">
      <c r="A14" s="18" t="s">
        <v>518</v>
      </c>
      <c r="B14" s="18" t="s">
        <v>519</v>
      </c>
    </row>
    <row r="15" customFormat="false" ht="22.35" hidden="false" customHeight="false" outlineLevel="0" collapsed="false">
      <c r="A15" s="18" t="s">
        <v>520</v>
      </c>
      <c r="B15" s="18" t="s">
        <v>521</v>
      </c>
    </row>
    <row r="16" customFormat="false" ht="22.35" hidden="false" customHeight="false" outlineLevel="0" collapsed="false">
      <c r="A16" s="18" t="s">
        <v>522</v>
      </c>
      <c r="B16" s="18" t="s">
        <v>523</v>
      </c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0"/>
  <sheetViews>
    <sheetView showFormulas="false" showGridLines="false" showRowColHeaders="true" showZeros="true" rightToLeft="false" tabSelected="false" showOutlineSymbols="true" defaultGridColor="true" view="normal" topLeftCell="E1" colorId="64" zoomScale="100" zoomScaleNormal="100" zoomScalePageLayoutView="100" workbookViewId="0">
      <pane xSplit="0" ySplit="1" topLeftCell="A2" activePane="bottomLeft" state="frozen"/>
      <selection pane="topLeft" activeCell="E1" activeCellId="0" sqref="E1"/>
      <selection pane="bottomLeft" activeCell="K26" activeCellId="0" sqref="K2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4"/>
    <col collapsed="false" customWidth="true" hidden="false" outlineLevel="0" max="3" min="3" style="0" width="44"/>
    <col collapsed="false" customWidth="true" hidden="false" outlineLevel="0" max="5" min="4" style="0" width="24"/>
    <col collapsed="false" customWidth="true" hidden="false" outlineLevel="0" max="6" min="6" style="0" width="28"/>
    <col collapsed="false" customWidth="true" hidden="false" outlineLevel="0" max="7" min="7" style="0" width="30"/>
    <col collapsed="false" customWidth="true" hidden="false" outlineLevel="0" max="8" min="8" style="0" width="34"/>
    <col collapsed="false" customWidth="true" hidden="false" outlineLevel="0" max="9" min="9" style="0" width="38"/>
    <col collapsed="false" customWidth="true" hidden="false" outlineLevel="0" max="10" min="10" style="0" width="25"/>
    <col collapsed="false" customWidth="true" hidden="false" outlineLevel="0" max="11" min="11" style="0" width="52"/>
    <col collapsed="false" customWidth="true" hidden="false" outlineLevel="0" max="12" min="12" style="0" width="48"/>
    <col collapsed="false" customWidth="true" hidden="false" outlineLevel="0" max="13" min="13" style="0" width="20"/>
  </cols>
  <sheetData>
    <row r="1" customFormat="false" ht="34" hidden="false" customHeight="true" outlineLevel="0" collapsed="false">
      <c r="A1" s="19" t="s">
        <v>524</v>
      </c>
      <c r="B1" s="20" t="s">
        <v>525</v>
      </c>
      <c r="C1" s="20" t="s">
        <v>526</v>
      </c>
      <c r="D1" s="20" t="s">
        <v>527</v>
      </c>
      <c r="E1" s="20" t="s">
        <v>227</v>
      </c>
      <c r="F1" s="20" t="s">
        <v>483</v>
      </c>
      <c r="G1" s="20" t="s">
        <v>484</v>
      </c>
      <c r="H1" s="20" t="s">
        <v>528</v>
      </c>
      <c r="I1" s="20" t="s">
        <v>529</v>
      </c>
      <c r="J1" s="20" t="s">
        <v>530</v>
      </c>
      <c r="K1" s="20" t="s">
        <v>241</v>
      </c>
      <c r="L1" s="20" t="s">
        <v>531</v>
      </c>
      <c r="M1" s="21" t="s">
        <v>532</v>
      </c>
    </row>
    <row r="2" customFormat="false" ht="21" hidden="false" customHeight="true" outlineLevel="0" collapsed="false">
      <c r="A2" s="22" t="s">
        <v>533</v>
      </c>
      <c r="B2" s="22" t="s">
        <v>534</v>
      </c>
      <c r="C2" s="22" t="s">
        <v>533</v>
      </c>
      <c r="D2" s="22" t="s">
        <v>535</v>
      </c>
      <c r="E2" s="22"/>
      <c r="F2" s="22" t="s">
        <v>384</v>
      </c>
      <c r="G2" s="22" t="s">
        <v>243</v>
      </c>
      <c r="H2" s="22" t="s">
        <v>386</v>
      </c>
      <c r="I2" s="22"/>
      <c r="J2" s="22"/>
      <c r="K2" s="22"/>
      <c r="L2" s="22" t="s">
        <v>248</v>
      </c>
      <c r="M2" s="23" t="n">
        <v>46275</v>
      </c>
    </row>
    <row r="3" customFormat="false" ht="21" hidden="false" customHeight="true" outlineLevel="0" collapsed="false">
      <c r="A3" s="24" t="s">
        <v>533</v>
      </c>
      <c r="B3" s="24" t="s">
        <v>534</v>
      </c>
      <c r="C3" s="24" t="s">
        <v>533</v>
      </c>
      <c r="D3" s="24" t="s">
        <v>535</v>
      </c>
      <c r="E3" s="24"/>
      <c r="F3" s="24" t="s">
        <v>429</v>
      </c>
      <c r="G3" s="24" t="s">
        <v>243</v>
      </c>
      <c r="H3" s="24" t="s">
        <v>386</v>
      </c>
      <c r="I3" s="24"/>
      <c r="J3" s="24"/>
      <c r="K3" s="24"/>
      <c r="L3" s="24" t="s">
        <v>248</v>
      </c>
      <c r="M3" s="25" t="n">
        <v>46275</v>
      </c>
    </row>
    <row r="4" customFormat="false" ht="21" hidden="false" customHeight="true" outlineLevel="0" collapsed="false">
      <c r="A4" s="24" t="s">
        <v>536</v>
      </c>
      <c r="B4" s="24" t="s">
        <v>537</v>
      </c>
      <c r="C4" s="24" t="s">
        <v>15</v>
      </c>
      <c r="D4" s="24" t="s">
        <v>538</v>
      </c>
      <c r="E4" s="24"/>
      <c r="F4" s="24" t="s">
        <v>250</v>
      </c>
      <c r="G4" s="24" t="s">
        <v>243</v>
      </c>
      <c r="H4" s="24" t="s">
        <v>252</v>
      </c>
      <c r="I4" s="24"/>
      <c r="J4" s="24"/>
      <c r="K4" s="24"/>
      <c r="L4" s="24" t="s">
        <v>539</v>
      </c>
      <c r="M4" s="25" t="n">
        <v>46275</v>
      </c>
    </row>
    <row r="5" customFormat="false" ht="21" hidden="false" customHeight="true" outlineLevel="0" collapsed="false">
      <c r="A5" s="24" t="s">
        <v>536</v>
      </c>
      <c r="B5" s="24" t="s">
        <v>537</v>
      </c>
      <c r="C5" s="24" t="s">
        <v>15</v>
      </c>
      <c r="D5" s="24" t="s">
        <v>538</v>
      </c>
      <c r="E5" s="24"/>
      <c r="F5" s="24" t="s">
        <v>275</v>
      </c>
      <c r="G5" s="24" t="s">
        <v>243</v>
      </c>
      <c r="H5" s="24" t="s">
        <v>261</v>
      </c>
      <c r="I5" s="24" t="s">
        <v>20</v>
      </c>
      <c r="J5" s="24"/>
      <c r="K5" s="24"/>
      <c r="L5" s="24" t="s">
        <v>539</v>
      </c>
      <c r="M5" s="25" t="n">
        <v>46275</v>
      </c>
    </row>
    <row r="6" customFormat="false" ht="21" hidden="false" customHeight="true" outlineLevel="0" collapsed="false">
      <c r="A6" s="24" t="s">
        <v>536</v>
      </c>
      <c r="B6" s="24" t="s">
        <v>537</v>
      </c>
      <c r="C6" s="24" t="s">
        <v>15</v>
      </c>
      <c r="D6" s="24" t="s">
        <v>538</v>
      </c>
      <c r="E6" s="24"/>
      <c r="F6" s="24" t="s">
        <v>283</v>
      </c>
      <c r="G6" s="24" t="s">
        <v>243</v>
      </c>
      <c r="H6" s="24" t="s">
        <v>284</v>
      </c>
      <c r="I6" s="24" t="s">
        <v>85</v>
      </c>
      <c r="J6" s="24"/>
      <c r="K6" s="24"/>
      <c r="L6" s="24" t="s">
        <v>539</v>
      </c>
      <c r="M6" s="25" t="n">
        <v>46275</v>
      </c>
    </row>
    <row r="7" customFormat="false" ht="21" hidden="false" customHeight="true" outlineLevel="0" collapsed="false">
      <c r="A7" s="24" t="s">
        <v>536</v>
      </c>
      <c r="B7" s="24" t="s">
        <v>537</v>
      </c>
      <c r="C7" s="24" t="s">
        <v>15</v>
      </c>
      <c r="D7" s="24" t="s">
        <v>538</v>
      </c>
      <c r="E7" s="24"/>
      <c r="F7" s="24" t="s">
        <v>287</v>
      </c>
      <c r="G7" s="24" t="s">
        <v>243</v>
      </c>
      <c r="H7" s="24" t="s">
        <v>288</v>
      </c>
      <c r="I7" s="24" t="s">
        <v>20</v>
      </c>
      <c r="J7" s="24"/>
      <c r="K7" s="24"/>
      <c r="L7" s="24" t="s">
        <v>539</v>
      </c>
      <c r="M7" s="25" t="n">
        <v>46275</v>
      </c>
    </row>
    <row r="8" customFormat="false" ht="21" hidden="false" customHeight="true" outlineLevel="0" collapsed="false">
      <c r="A8" s="24" t="s">
        <v>536</v>
      </c>
      <c r="B8" s="24" t="s">
        <v>537</v>
      </c>
      <c r="C8" s="24" t="s">
        <v>15</v>
      </c>
      <c r="D8" s="24" t="s">
        <v>538</v>
      </c>
      <c r="E8" s="24"/>
      <c r="F8" s="24" t="s">
        <v>290</v>
      </c>
      <c r="G8" s="24" t="s">
        <v>243</v>
      </c>
      <c r="H8" s="24" t="s">
        <v>291</v>
      </c>
      <c r="I8" s="24" t="s">
        <v>20</v>
      </c>
      <c r="J8" s="24"/>
      <c r="K8" s="24"/>
      <c r="L8" s="24" t="s">
        <v>539</v>
      </c>
      <c r="M8" s="25" t="n">
        <v>46275</v>
      </c>
    </row>
    <row r="9" customFormat="false" ht="21" hidden="false" customHeight="true" outlineLevel="0" collapsed="false">
      <c r="A9" s="24" t="s">
        <v>536</v>
      </c>
      <c r="B9" s="24" t="s">
        <v>537</v>
      </c>
      <c r="C9" s="24" t="s">
        <v>15</v>
      </c>
      <c r="D9" s="24" t="s">
        <v>538</v>
      </c>
      <c r="E9" s="24"/>
      <c r="F9" s="24" t="s">
        <v>292</v>
      </c>
      <c r="G9" s="24" t="s">
        <v>243</v>
      </c>
      <c r="H9" s="24" t="s">
        <v>293</v>
      </c>
      <c r="I9" s="24" t="s">
        <v>16</v>
      </c>
      <c r="J9" s="24"/>
      <c r="K9" s="24"/>
      <c r="L9" s="24" t="s">
        <v>539</v>
      </c>
      <c r="M9" s="25" t="n">
        <v>46275</v>
      </c>
    </row>
    <row r="10" customFormat="false" ht="21" hidden="false" customHeight="true" outlineLevel="0" collapsed="false">
      <c r="A10" s="24" t="s">
        <v>536</v>
      </c>
      <c r="B10" s="24" t="s">
        <v>537</v>
      </c>
      <c r="C10" s="24" t="s">
        <v>15</v>
      </c>
      <c r="D10" s="24" t="s">
        <v>538</v>
      </c>
      <c r="E10" s="24"/>
      <c r="F10" s="24" t="s">
        <v>311</v>
      </c>
      <c r="G10" s="24" t="s">
        <v>243</v>
      </c>
      <c r="H10" s="24" t="s">
        <v>180</v>
      </c>
      <c r="I10" s="24" t="s">
        <v>79</v>
      </c>
      <c r="J10" s="24"/>
      <c r="K10" s="24"/>
      <c r="L10" s="24" t="s">
        <v>539</v>
      </c>
      <c r="M10" s="25" t="n">
        <v>46275</v>
      </c>
    </row>
    <row r="11" customFormat="false" ht="21" hidden="false" customHeight="true" outlineLevel="0" collapsed="false">
      <c r="A11" s="24" t="s">
        <v>536</v>
      </c>
      <c r="B11" s="24" t="s">
        <v>537</v>
      </c>
      <c r="C11" s="24" t="s">
        <v>15</v>
      </c>
      <c r="D11" s="24" t="s">
        <v>538</v>
      </c>
      <c r="E11" s="24"/>
      <c r="F11" s="24" t="s">
        <v>318</v>
      </c>
      <c r="G11" s="24" t="s">
        <v>243</v>
      </c>
      <c r="H11" s="24" t="s">
        <v>293</v>
      </c>
      <c r="I11" s="24" t="s">
        <v>16</v>
      </c>
      <c r="J11" s="24"/>
      <c r="K11" s="24"/>
      <c r="L11" s="24" t="s">
        <v>539</v>
      </c>
      <c r="M11" s="25" t="n">
        <v>46275</v>
      </c>
    </row>
    <row r="12" customFormat="false" ht="21" hidden="false" customHeight="true" outlineLevel="0" collapsed="false">
      <c r="A12" s="24" t="s">
        <v>536</v>
      </c>
      <c r="B12" s="24" t="s">
        <v>537</v>
      </c>
      <c r="C12" s="24" t="s">
        <v>15</v>
      </c>
      <c r="D12" s="24" t="s">
        <v>538</v>
      </c>
      <c r="E12" s="24"/>
      <c r="F12" s="24" t="s">
        <v>327</v>
      </c>
      <c r="G12" s="24" t="s">
        <v>243</v>
      </c>
      <c r="H12" s="24" t="s">
        <v>180</v>
      </c>
      <c r="I12" s="24" t="s">
        <v>37</v>
      </c>
      <c r="J12" s="24"/>
      <c r="K12" s="24"/>
      <c r="L12" s="24" t="s">
        <v>539</v>
      </c>
      <c r="M12" s="25" t="n">
        <v>46275</v>
      </c>
    </row>
    <row r="13" customFormat="false" ht="21" hidden="false" customHeight="true" outlineLevel="0" collapsed="false">
      <c r="A13" s="24" t="s">
        <v>536</v>
      </c>
      <c r="B13" s="24" t="s">
        <v>537</v>
      </c>
      <c r="C13" s="24" t="s">
        <v>15</v>
      </c>
      <c r="D13" s="24" t="s">
        <v>538</v>
      </c>
      <c r="E13" s="24"/>
      <c r="F13" s="24" t="s">
        <v>335</v>
      </c>
      <c r="G13" s="24" t="s">
        <v>243</v>
      </c>
      <c r="H13" s="24" t="s">
        <v>307</v>
      </c>
      <c r="I13" s="24" t="s">
        <v>60</v>
      </c>
      <c r="J13" s="24"/>
      <c r="K13" s="24"/>
      <c r="L13" s="24" t="s">
        <v>539</v>
      </c>
      <c r="M13" s="25" t="n">
        <v>46275</v>
      </c>
    </row>
    <row r="14" customFormat="false" ht="21" hidden="false" customHeight="true" outlineLevel="0" collapsed="false">
      <c r="A14" s="24" t="s">
        <v>536</v>
      </c>
      <c r="B14" s="24" t="s">
        <v>537</v>
      </c>
      <c r="C14" s="24" t="s">
        <v>15</v>
      </c>
      <c r="D14" s="24" t="s">
        <v>538</v>
      </c>
      <c r="E14" s="24"/>
      <c r="F14" s="24" t="s">
        <v>294</v>
      </c>
      <c r="G14" s="24" t="s">
        <v>243</v>
      </c>
      <c r="H14" s="24" t="s">
        <v>343</v>
      </c>
      <c r="I14" s="24" t="s">
        <v>16</v>
      </c>
      <c r="J14" s="24"/>
      <c r="K14" s="24"/>
      <c r="L14" s="24" t="s">
        <v>539</v>
      </c>
      <c r="M14" s="25" t="n">
        <v>46275</v>
      </c>
    </row>
    <row r="15" customFormat="false" ht="21" hidden="false" customHeight="true" outlineLevel="0" collapsed="false">
      <c r="A15" s="24" t="s">
        <v>536</v>
      </c>
      <c r="B15" s="24" t="s">
        <v>537</v>
      </c>
      <c r="C15" s="24" t="s">
        <v>15</v>
      </c>
      <c r="D15" s="24" t="s">
        <v>538</v>
      </c>
      <c r="E15" s="24"/>
      <c r="F15" s="24" t="s">
        <v>347</v>
      </c>
      <c r="G15" s="24" t="s">
        <v>243</v>
      </c>
      <c r="H15" s="24" t="s">
        <v>348</v>
      </c>
      <c r="I15" s="24" t="s">
        <v>35</v>
      </c>
      <c r="J15" s="24"/>
      <c r="K15" s="24"/>
      <c r="L15" s="24" t="s">
        <v>539</v>
      </c>
      <c r="M15" s="25" t="n">
        <v>46275</v>
      </c>
    </row>
    <row r="16" customFormat="false" ht="21" hidden="false" customHeight="true" outlineLevel="0" collapsed="false">
      <c r="A16" s="24" t="s">
        <v>536</v>
      </c>
      <c r="B16" s="24" t="s">
        <v>537</v>
      </c>
      <c r="C16" s="24" t="s">
        <v>15</v>
      </c>
      <c r="D16" s="24" t="s">
        <v>538</v>
      </c>
      <c r="E16" s="24"/>
      <c r="F16" s="24" t="s">
        <v>351</v>
      </c>
      <c r="G16" s="24" t="s">
        <v>243</v>
      </c>
      <c r="H16" s="24" t="s">
        <v>348</v>
      </c>
      <c r="I16" s="24" t="s">
        <v>62</v>
      </c>
      <c r="J16" s="24"/>
      <c r="K16" s="24"/>
      <c r="L16" s="24" t="s">
        <v>539</v>
      </c>
      <c r="M16" s="25" t="n">
        <v>46275</v>
      </c>
    </row>
    <row r="17" customFormat="false" ht="21" hidden="false" customHeight="true" outlineLevel="0" collapsed="false">
      <c r="A17" s="24" t="s">
        <v>536</v>
      </c>
      <c r="B17" s="24" t="s">
        <v>537</v>
      </c>
      <c r="C17" s="24" t="s">
        <v>15</v>
      </c>
      <c r="D17" s="24" t="s">
        <v>538</v>
      </c>
      <c r="E17" s="24"/>
      <c r="F17" s="24" t="s">
        <v>276</v>
      </c>
      <c r="G17" s="24" t="s">
        <v>243</v>
      </c>
      <c r="H17" s="24" t="s">
        <v>360</v>
      </c>
      <c r="I17" s="24" t="s">
        <v>20</v>
      </c>
      <c r="J17" s="24"/>
      <c r="K17" s="24"/>
      <c r="L17" s="24" t="s">
        <v>539</v>
      </c>
      <c r="M17" s="25" t="n">
        <v>46275</v>
      </c>
    </row>
    <row r="18" customFormat="false" ht="21" hidden="false" customHeight="true" outlineLevel="0" collapsed="false">
      <c r="A18" s="24" t="s">
        <v>536</v>
      </c>
      <c r="B18" s="24" t="s">
        <v>537</v>
      </c>
      <c r="C18" s="24" t="s">
        <v>15</v>
      </c>
      <c r="D18" s="24" t="s">
        <v>538</v>
      </c>
      <c r="E18" s="24"/>
      <c r="F18" s="24" t="s">
        <v>373</v>
      </c>
      <c r="G18" s="24" t="s">
        <v>243</v>
      </c>
      <c r="H18" s="24" t="s">
        <v>293</v>
      </c>
      <c r="I18" s="24" t="s">
        <v>37</v>
      </c>
      <c r="J18" s="24"/>
      <c r="K18" s="24"/>
      <c r="L18" s="24" t="s">
        <v>539</v>
      </c>
      <c r="M18" s="25" t="n">
        <v>46275</v>
      </c>
    </row>
    <row r="19" customFormat="false" ht="21" hidden="false" customHeight="true" outlineLevel="0" collapsed="false">
      <c r="A19" s="24" t="s">
        <v>536</v>
      </c>
      <c r="B19" s="24" t="s">
        <v>537</v>
      </c>
      <c r="C19" s="24" t="s">
        <v>15</v>
      </c>
      <c r="D19" s="24" t="s">
        <v>538</v>
      </c>
      <c r="E19" s="24"/>
      <c r="F19" s="24" t="s">
        <v>336</v>
      </c>
      <c r="G19" s="24" t="s">
        <v>243</v>
      </c>
      <c r="H19" s="24" t="s">
        <v>358</v>
      </c>
      <c r="I19" s="24" t="s">
        <v>60</v>
      </c>
      <c r="J19" s="24"/>
      <c r="K19" s="24"/>
      <c r="L19" s="24" t="s">
        <v>539</v>
      </c>
      <c r="M19" s="25" t="n">
        <v>46275</v>
      </c>
    </row>
    <row r="20" customFormat="false" ht="21" hidden="false" customHeight="true" outlineLevel="0" collapsed="false">
      <c r="A20" s="24" t="s">
        <v>536</v>
      </c>
      <c r="B20" s="24" t="s">
        <v>537</v>
      </c>
      <c r="C20" s="24" t="s">
        <v>15</v>
      </c>
      <c r="D20" s="24" t="s">
        <v>538</v>
      </c>
      <c r="E20" s="24"/>
      <c r="F20" s="24" t="s">
        <v>352</v>
      </c>
      <c r="G20" s="24" t="s">
        <v>243</v>
      </c>
      <c r="H20" s="24" t="s">
        <v>377</v>
      </c>
      <c r="I20" s="24" t="s">
        <v>62</v>
      </c>
      <c r="J20" s="24"/>
      <c r="K20" s="24"/>
      <c r="L20" s="24" t="s">
        <v>539</v>
      </c>
      <c r="M20" s="25" t="n">
        <v>46275</v>
      </c>
    </row>
    <row r="21" customFormat="false" ht="21" hidden="false" customHeight="true" outlineLevel="0" collapsed="false">
      <c r="A21" s="24" t="s">
        <v>536</v>
      </c>
      <c r="B21" s="24" t="s">
        <v>537</v>
      </c>
      <c r="C21" s="24" t="s">
        <v>15</v>
      </c>
      <c r="D21" s="24" t="s">
        <v>538</v>
      </c>
      <c r="E21" s="24"/>
      <c r="F21" s="24" t="s">
        <v>383</v>
      </c>
      <c r="G21" s="24" t="s">
        <v>243</v>
      </c>
      <c r="H21" s="24" t="s">
        <v>268</v>
      </c>
      <c r="I21" s="24" t="s">
        <v>37</v>
      </c>
      <c r="J21" s="24"/>
      <c r="K21" s="24"/>
      <c r="L21" s="24" t="s">
        <v>539</v>
      </c>
      <c r="M21" s="25" t="n">
        <v>46275</v>
      </c>
    </row>
    <row r="22" customFormat="false" ht="21" hidden="false" customHeight="true" outlineLevel="0" collapsed="false">
      <c r="A22" s="24" t="s">
        <v>536</v>
      </c>
      <c r="B22" s="24" t="s">
        <v>537</v>
      </c>
      <c r="C22" s="24" t="s">
        <v>15</v>
      </c>
      <c r="D22" s="24" t="s">
        <v>538</v>
      </c>
      <c r="E22" s="24"/>
      <c r="F22" s="24" t="s">
        <v>394</v>
      </c>
      <c r="G22" s="24" t="s">
        <v>243</v>
      </c>
      <c r="H22" s="24" t="s">
        <v>268</v>
      </c>
      <c r="I22" s="24" t="s">
        <v>20</v>
      </c>
      <c r="J22" s="24"/>
      <c r="K22" s="24"/>
      <c r="L22" s="24" t="s">
        <v>539</v>
      </c>
      <c r="M22" s="25" t="n">
        <v>46275</v>
      </c>
    </row>
    <row r="23" customFormat="false" ht="21" hidden="false" customHeight="true" outlineLevel="0" collapsed="false">
      <c r="A23" s="24" t="s">
        <v>536</v>
      </c>
      <c r="B23" s="24" t="s">
        <v>537</v>
      </c>
      <c r="C23" s="24" t="s">
        <v>15</v>
      </c>
      <c r="D23" s="24" t="s">
        <v>538</v>
      </c>
      <c r="E23" s="24"/>
      <c r="F23" s="24" t="s">
        <v>396</v>
      </c>
      <c r="G23" s="24" t="s">
        <v>243</v>
      </c>
      <c r="H23" s="24" t="s">
        <v>180</v>
      </c>
      <c r="I23" s="24" t="s">
        <v>71</v>
      </c>
      <c r="J23" s="24"/>
      <c r="K23" s="24"/>
      <c r="L23" s="24" t="s">
        <v>539</v>
      </c>
      <c r="M23" s="25" t="n">
        <v>46275</v>
      </c>
    </row>
    <row r="24" customFormat="false" ht="21" hidden="false" customHeight="true" outlineLevel="0" collapsed="false">
      <c r="A24" s="24" t="s">
        <v>536</v>
      </c>
      <c r="B24" s="24" t="s">
        <v>537</v>
      </c>
      <c r="C24" s="24" t="s">
        <v>15</v>
      </c>
      <c r="D24" s="24" t="s">
        <v>538</v>
      </c>
      <c r="E24" s="24"/>
      <c r="F24" s="24" t="s">
        <v>407</v>
      </c>
      <c r="G24" s="24" t="s">
        <v>243</v>
      </c>
      <c r="H24" s="24" t="s">
        <v>408</v>
      </c>
      <c r="I24" s="24" t="s">
        <v>79</v>
      </c>
      <c r="J24" s="24"/>
      <c r="K24" s="24"/>
      <c r="L24" s="24" t="s">
        <v>539</v>
      </c>
      <c r="M24" s="25" t="n">
        <v>46275</v>
      </c>
    </row>
    <row r="25" customFormat="false" ht="21" hidden="false" customHeight="true" outlineLevel="0" collapsed="false">
      <c r="A25" s="24" t="s">
        <v>536</v>
      </c>
      <c r="B25" s="24" t="s">
        <v>537</v>
      </c>
      <c r="C25" s="24" t="s">
        <v>15</v>
      </c>
      <c r="D25" s="24" t="s">
        <v>538</v>
      </c>
      <c r="E25" s="24"/>
      <c r="F25" s="24" t="s">
        <v>349</v>
      </c>
      <c r="G25" s="24" t="s">
        <v>243</v>
      </c>
      <c r="H25" s="24" t="s">
        <v>358</v>
      </c>
      <c r="I25" s="24" t="s">
        <v>35</v>
      </c>
      <c r="J25" s="24"/>
      <c r="K25" s="24"/>
      <c r="L25" s="24" t="s">
        <v>539</v>
      </c>
      <c r="M25" s="25" t="n">
        <v>46275</v>
      </c>
    </row>
    <row r="26" customFormat="false" ht="21" hidden="false" customHeight="true" outlineLevel="0" collapsed="false">
      <c r="A26" s="24" t="s">
        <v>536</v>
      </c>
      <c r="B26" s="24" t="s">
        <v>537</v>
      </c>
      <c r="C26" s="24" t="s">
        <v>15</v>
      </c>
      <c r="D26" s="24" t="s">
        <v>538</v>
      </c>
      <c r="E26" s="24"/>
      <c r="F26" s="24" t="s">
        <v>434</v>
      </c>
      <c r="G26" s="24" t="s">
        <v>440</v>
      </c>
      <c r="H26" s="24" t="s">
        <v>348</v>
      </c>
      <c r="I26" s="24" t="s">
        <v>16</v>
      </c>
      <c r="J26" s="24"/>
      <c r="K26" s="24"/>
      <c r="L26" s="24" t="s">
        <v>539</v>
      </c>
      <c r="M26" s="25" t="n">
        <v>46275</v>
      </c>
    </row>
    <row r="27" customFormat="false" ht="21" hidden="false" customHeight="true" outlineLevel="0" collapsed="false">
      <c r="A27" s="24" t="s">
        <v>536</v>
      </c>
      <c r="B27" s="24" t="s">
        <v>537</v>
      </c>
      <c r="C27" s="24" t="s">
        <v>15</v>
      </c>
      <c r="D27" s="24" t="s">
        <v>538</v>
      </c>
      <c r="E27" s="24"/>
      <c r="F27" s="24" t="s">
        <v>439</v>
      </c>
      <c r="G27" s="24" t="s">
        <v>440</v>
      </c>
      <c r="H27" s="24" t="s">
        <v>441</v>
      </c>
      <c r="I27" s="24" t="s">
        <v>16</v>
      </c>
      <c r="J27" s="24"/>
      <c r="K27" s="24"/>
      <c r="L27" s="24" t="s">
        <v>539</v>
      </c>
      <c r="M27" s="25" t="n">
        <v>46275</v>
      </c>
    </row>
    <row r="28" customFormat="false" ht="21" hidden="false" customHeight="true" outlineLevel="0" collapsed="false">
      <c r="A28" s="24" t="s">
        <v>536</v>
      </c>
      <c r="B28" s="24" t="s">
        <v>537</v>
      </c>
      <c r="C28" s="24" t="s">
        <v>15</v>
      </c>
      <c r="D28" s="24" t="s">
        <v>538</v>
      </c>
      <c r="E28" s="24"/>
      <c r="F28" s="24" t="s">
        <v>443</v>
      </c>
      <c r="G28" s="24" t="s">
        <v>440</v>
      </c>
      <c r="H28" s="24" t="s">
        <v>444</v>
      </c>
      <c r="I28" s="24" t="s">
        <v>178</v>
      </c>
      <c r="J28" s="24"/>
      <c r="K28" s="24"/>
      <c r="L28" s="24" t="s">
        <v>539</v>
      </c>
      <c r="M28" s="25" t="n">
        <v>46275</v>
      </c>
    </row>
    <row r="29" customFormat="false" ht="21" hidden="false" customHeight="true" outlineLevel="0" collapsed="false">
      <c r="A29" s="24" t="s">
        <v>536</v>
      </c>
      <c r="B29" s="24" t="s">
        <v>537</v>
      </c>
      <c r="C29" s="24" t="s">
        <v>15</v>
      </c>
      <c r="D29" s="24" t="s">
        <v>538</v>
      </c>
      <c r="E29" s="24"/>
      <c r="F29" s="24" t="s">
        <v>445</v>
      </c>
      <c r="G29" s="24" t="s">
        <v>440</v>
      </c>
      <c r="H29" s="24" t="s">
        <v>408</v>
      </c>
      <c r="I29" s="24" t="s">
        <v>178</v>
      </c>
      <c r="J29" s="24"/>
      <c r="K29" s="24"/>
      <c r="L29" s="24" t="s">
        <v>539</v>
      </c>
      <c r="M29" s="25" t="n">
        <v>46275</v>
      </c>
    </row>
    <row r="30" customFormat="false" ht="21" hidden="false" customHeight="true" outlineLevel="0" collapsed="false">
      <c r="A30" s="24" t="s">
        <v>536</v>
      </c>
      <c r="B30" s="24" t="s">
        <v>537</v>
      </c>
      <c r="C30" s="24" t="s">
        <v>15</v>
      </c>
      <c r="D30" s="24" t="s">
        <v>538</v>
      </c>
      <c r="E30" s="24"/>
      <c r="F30" s="24" t="s">
        <v>446</v>
      </c>
      <c r="G30" s="24" t="s">
        <v>440</v>
      </c>
      <c r="H30" s="24" t="s">
        <v>441</v>
      </c>
      <c r="I30" s="24" t="s">
        <v>16</v>
      </c>
      <c r="J30" s="24"/>
      <c r="K30" s="24"/>
      <c r="L30" s="24" t="s">
        <v>539</v>
      </c>
      <c r="M30" s="25" t="n">
        <v>46275</v>
      </c>
    </row>
    <row r="31" customFormat="false" ht="21" hidden="false" customHeight="true" outlineLevel="0" collapsed="false">
      <c r="A31" s="24" t="s">
        <v>536</v>
      </c>
      <c r="B31" s="24" t="s">
        <v>537</v>
      </c>
      <c r="C31" s="24" t="s">
        <v>15</v>
      </c>
      <c r="D31" s="24" t="s">
        <v>538</v>
      </c>
      <c r="E31" s="24"/>
      <c r="F31" s="24" t="s">
        <v>447</v>
      </c>
      <c r="G31" s="24" t="s">
        <v>440</v>
      </c>
      <c r="H31" s="24" t="s">
        <v>334</v>
      </c>
      <c r="I31" s="24"/>
      <c r="J31" s="24"/>
      <c r="K31" s="24"/>
      <c r="L31" s="24" t="s">
        <v>539</v>
      </c>
      <c r="M31" s="25" t="n">
        <v>46275</v>
      </c>
    </row>
    <row r="32" customFormat="false" ht="21" hidden="false" customHeight="true" outlineLevel="0" collapsed="false">
      <c r="A32" s="24" t="s">
        <v>536</v>
      </c>
      <c r="B32" s="24" t="s">
        <v>537</v>
      </c>
      <c r="C32" s="24" t="s">
        <v>15</v>
      </c>
      <c r="D32" s="24" t="s">
        <v>538</v>
      </c>
      <c r="E32" s="24"/>
      <c r="F32" s="24" t="s">
        <v>448</v>
      </c>
      <c r="G32" s="24" t="s">
        <v>440</v>
      </c>
      <c r="H32" s="24" t="s">
        <v>441</v>
      </c>
      <c r="I32" s="24" t="s">
        <v>37</v>
      </c>
      <c r="J32" s="24"/>
      <c r="K32" s="24"/>
      <c r="L32" s="24" t="s">
        <v>539</v>
      </c>
      <c r="M32" s="25" t="n">
        <v>46275</v>
      </c>
    </row>
    <row r="33" customFormat="false" ht="21" hidden="false" customHeight="true" outlineLevel="0" collapsed="false">
      <c r="A33" s="24" t="s">
        <v>536</v>
      </c>
      <c r="B33" s="24" t="s">
        <v>537</v>
      </c>
      <c r="C33" s="24" t="s">
        <v>15</v>
      </c>
      <c r="D33" s="24" t="s">
        <v>538</v>
      </c>
      <c r="E33" s="24"/>
      <c r="F33" s="24" t="s">
        <v>450</v>
      </c>
      <c r="G33" s="24" t="s">
        <v>440</v>
      </c>
      <c r="H33" s="24" t="s">
        <v>408</v>
      </c>
      <c r="I33" s="24" t="s">
        <v>62</v>
      </c>
      <c r="J33" s="24"/>
      <c r="K33" s="24"/>
      <c r="L33" s="24" t="s">
        <v>539</v>
      </c>
      <c r="M33" s="25" t="n">
        <v>46275</v>
      </c>
    </row>
    <row r="34" customFormat="false" ht="21" hidden="false" customHeight="true" outlineLevel="0" collapsed="false">
      <c r="A34" s="24" t="s">
        <v>536</v>
      </c>
      <c r="B34" s="24" t="s">
        <v>537</v>
      </c>
      <c r="C34" s="24" t="s">
        <v>15</v>
      </c>
      <c r="D34" s="24" t="s">
        <v>538</v>
      </c>
      <c r="E34" s="24"/>
      <c r="F34" s="24" t="s">
        <v>451</v>
      </c>
      <c r="G34" s="24" t="s">
        <v>440</v>
      </c>
      <c r="H34" s="24" t="s">
        <v>441</v>
      </c>
      <c r="I34" s="24" t="s">
        <v>60</v>
      </c>
      <c r="J34" s="24"/>
      <c r="K34" s="24"/>
      <c r="L34" s="24" t="s">
        <v>539</v>
      </c>
      <c r="M34" s="25" t="n">
        <v>46275</v>
      </c>
    </row>
    <row r="35" customFormat="false" ht="21" hidden="false" customHeight="true" outlineLevel="0" collapsed="false">
      <c r="A35" s="24" t="s">
        <v>536</v>
      </c>
      <c r="B35" s="24" t="s">
        <v>537</v>
      </c>
      <c r="C35" s="24" t="s">
        <v>15</v>
      </c>
      <c r="D35" s="24" t="s">
        <v>538</v>
      </c>
      <c r="E35" s="24"/>
      <c r="F35" s="24" t="s">
        <v>452</v>
      </c>
      <c r="G35" s="24" t="s">
        <v>440</v>
      </c>
      <c r="H35" s="24" t="s">
        <v>441</v>
      </c>
      <c r="I35" s="24" t="s">
        <v>178</v>
      </c>
      <c r="J35" s="24"/>
      <c r="K35" s="24"/>
      <c r="L35" s="24" t="s">
        <v>539</v>
      </c>
      <c r="M35" s="25" t="n">
        <v>46275</v>
      </c>
    </row>
    <row r="36" customFormat="false" ht="21" hidden="false" customHeight="true" outlineLevel="0" collapsed="false">
      <c r="A36" s="24" t="s">
        <v>536</v>
      </c>
      <c r="B36" s="24" t="s">
        <v>537</v>
      </c>
      <c r="C36" s="24" t="s">
        <v>15</v>
      </c>
      <c r="D36" s="24" t="s">
        <v>538</v>
      </c>
      <c r="E36" s="24"/>
      <c r="F36" s="24" t="s">
        <v>453</v>
      </c>
      <c r="G36" s="24" t="s">
        <v>440</v>
      </c>
      <c r="H36" s="24" t="s">
        <v>408</v>
      </c>
      <c r="I36" s="24" t="s">
        <v>20</v>
      </c>
      <c r="J36" s="24"/>
      <c r="K36" s="24"/>
      <c r="L36" s="24" t="s">
        <v>539</v>
      </c>
      <c r="M36" s="25" t="n">
        <v>46275</v>
      </c>
    </row>
    <row r="37" customFormat="false" ht="21" hidden="false" customHeight="true" outlineLevel="0" collapsed="false">
      <c r="A37" s="24" t="s">
        <v>536</v>
      </c>
      <c r="B37" s="24" t="s">
        <v>537</v>
      </c>
      <c r="C37" s="24" t="s">
        <v>15</v>
      </c>
      <c r="D37" s="24" t="s">
        <v>538</v>
      </c>
      <c r="E37" s="24"/>
      <c r="F37" s="24" t="s">
        <v>455</v>
      </c>
      <c r="G37" s="24" t="s">
        <v>440</v>
      </c>
      <c r="H37" s="24" t="s">
        <v>408</v>
      </c>
      <c r="I37" s="24" t="s">
        <v>20</v>
      </c>
      <c r="J37" s="24"/>
      <c r="K37" s="24"/>
      <c r="L37" s="24" t="s">
        <v>539</v>
      </c>
      <c r="M37" s="25" t="n">
        <v>46275</v>
      </c>
    </row>
    <row r="38" customFormat="false" ht="21" hidden="false" customHeight="true" outlineLevel="0" collapsed="false">
      <c r="A38" s="24" t="s">
        <v>536</v>
      </c>
      <c r="B38" s="24" t="s">
        <v>537</v>
      </c>
      <c r="C38" s="24" t="s">
        <v>15</v>
      </c>
      <c r="D38" s="24" t="s">
        <v>538</v>
      </c>
      <c r="E38" s="24"/>
      <c r="F38" s="24" t="s">
        <v>458</v>
      </c>
      <c r="G38" s="24" t="s">
        <v>440</v>
      </c>
      <c r="H38" s="24" t="s">
        <v>321</v>
      </c>
      <c r="I38" s="24"/>
      <c r="J38" s="24"/>
      <c r="K38" s="24"/>
      <c r="L38" s="24" t="s">
        <v>539</v>
      </c>
      <c r="M38" s="25" t="n">
        <v>46275</v>
      </c>
    </row>
    <row r="39" customFormat="false" ht="21" hidden="false" customHeight="true" outlineLevel="0" collapsed="false">
      <c r="A39" s="24" t="s">
        <v>536</v>
      </c>
      <c r="B39" s="24" t="s">
        <v>537</v>
      </c>
      <c r="C39" s="24" t="s">
        <v>15</v>
      </c>
      <c r="D39" s="24" t="s">
        <v>538</v>
      </c>
      <c r="E39" s="24"/>
      <c r="F39" s="24" t="s">
        <v>459</v>
      </c>
      <c r="G39" s="24" t="s">
        <v>440</v>
      </c>
      <c r="H39" s="24" t="s">
        <v>408</v>
      </c>
      <c r="I39" s="24" t="s">
        <v>16</v>
      </c>
      <c r="J39" s="24"/>
      <c r="K39" s="24"/>
      <c r="L39" s="24" t="s">
        <v>539</v>
      </c>
      <c r="M39" s="25" t="n">
        <v>46275</v>
      </c>
    </row>
    <row r="40" customFormat="false" ht="21" hidden="false" customHeight="true" outlineLevel="0" collapsed="false">
      <c r="A40" s="24" t="s">
        <v>536</v>
      </c>
      <c r="B40" s="24" t="s">
        <v>537</v>
      </c>
      <c r="C40" s="24" t="s">
        <v>15</v>
      </c>
      <c r="D40" s="24" t="s">
        <v>538</v>
      </c>
      <c r="E40" s="24"/>
      <c r="F40" s="24" t="s">
        <v>460</v>
      </c>
      <c r="G40" s="24" t="s">
        <v>440</v>
      </c>
      <c r="H40" s="24" t="s">
        <v>441</v>
      </c>
      <c r="I40" s="24" t="s">
        <v>85</v>
      </c>
      <c r="J40" s="24"/>
      <c r="K40" s="24"/>
      <c r="L40" s="24" t="s">
        <v>539</v>
      </c>
      <c r="M40" s="25" t="n">
        <v>46275</v>
      </c>
    </row>
    <row r="41" customFormat="false" ht="21" hidden="false" customHeight="true" outlineLevel="0" collapsed="false">
      <c r="A41" s="24" t="s">
        <v>536</v>
      </c>
      <c r="B41" s="24" t="s">
        <v>537</v>
      </c>
      <c r="C41" s="24" t="s">
        <v>15</v>
      </c>
      <c r="D41" s="24" t="s">
        <v>538</v>
      </c>
      <c r="E41" s="24"/>
      <c r="F41" s="24" t="s">
        <v>461</v>
      </c>
      <c r="G41" s="24" t="s">
        <v>440</v>
      </c>
      <c r="H41" s="24" t="s">
        <v>358</v>
      </c>
      <c r="I41" s="24" t="s">
        <v>181</v>
      </c>
      <c r="J41" s="24"/>
      <c r="K41" s="24"/>
      <c r="L41" s="24" t="s">
        <v>539</v>
      </c>
      <c r="M41" s="25" t="n">
        <v>46275</v>
      </c>
    </row>
    <row r="42" customFormat="false" ht="21" hidden="false" customHeight="true" outlineLevel="0" collapsed="false">
      <c r="A42" s="24" t="s">
        <v>536</v>
      </c>
      <c r="B42" s="24" t="s">
        <v>537</v>
      </c>
      <c r="C42" s="24" t="s">
        <v>15</v>
      </c>
      <c r="D42" s="24" t="s">
        <v>538</v>
      </c>
      <c r="E42" s="24"/>
      <c r="F42" s="24" t="s">
        <v>467</v>
      </c>
      <c r="G42" s="24" t="s">
        <v>440</v>
      </c>
      <c r="H42" s="24" t="s">
        <v>408</v>
      </c>
      <c r="I42" s="24" t="s">
        <v>181</v>
      </c>
      <c r="J42" s="24"/>
      <c r="K42" s="24"/>
      <c r="L42" s="24" t="s">
        <v>539</v>
      </c>
      <c r="M42" s="25" t="n">
        <v>46275</v>
      </c>
    </row>
    <row r="43" customFormat="false" ht="21" hidden="false" customHeight="true" outlineLevel="0" collapsed="false">
      <c r="A43" s="24" t="s">
        <v>536</v>
      </c>
      <c r="B43" s="24" t="s">
        <v>537</v>
      </c>
      <c r="C43" s="24" t="s">
        <v>15</v>
      </c>
      <c r="D43" s="24" t="s">
        <v>538</v>
      </c>
      <c r="E43" s="24"/>
      <c r="F43" s="24" t="s">
        <v>468</v>
      </c>
      <c r="G43" s="24" t="s">
        <v>440</v>
      </c>
      <c r="H43" s="24" t="s">
        <v>177</v>
      </c>
      <c r="I43" s="24" t="s">
        <v>178</v>
      </c>
      <c r="J43" s="24"/>
      <c r="K43" s="24"/>
      <c r="L43" s="24" t="s">
        <v>539</v>
      </c>
      <c r="M43" s="25" t="n">
        <v>46275</v>
      </c>
    </row>
    <row r="44" customFormat="false" ht="21" hidden="false" customHeight="true" outlineLevel="0" collapsed="false">
      <c r="A44" s="24" t="s">
        <v>536</v>
      </c>
      <c r="B44" s="24" t="s">
        <v>537</v>
      </c>
      <c r="C44" s="24" t="s">
        <v>15</v>
      </c>
      <c r="D44" s="24" t="s">
        <v>538</v>
      </c>
      <c r="E44" s="24"/>
      <c r="F44" s="24" t="s">
        <v>470</v>
      </c>
      <c r="G44" s="24" t="s">
        <v>440</v>
      </c>
      <c r="H44" s="24" t="s">
        <v>334</v>
      </c>
      <c r="I44" s="24" t="s">
        <v>69</v>
      </c>
      <c r="J44" s="24"/>
      <c r="K44" s="24"/>
      <c r="L44" s="24" t="s">
        <v>539</v>
      </c>
      <c r="M44" s="25" t="n">
        <v>46275</v>
      </c>
    </row>
    <row r="45" customFormat="false" ht="21" hidden="false" customHeight="true" outlineLevel="0" collapsed="false">
      <c r="A45" s="24" t="s">
        <v>536</v>
      </c>
      <c r="B45" s="24" t="s">
        <v>540</v>
      </c>
      <c r="C45" s="24" t="s">
        <v>42</v>
      </c>
      <c r="D45" s="24" t="s">
        <v>538</v>
      </c>
      <c r="E45" s="24"/>
      <c r="F45" s="24" t="s">
        <v>370</v>
      </c>
      <c r="G45" s="24" t="s">
        <v>243</v>
      </c>
      <c r="H45" s="24" t="s">
        <v>371</v>
      </c>
      <c r="I45" s="24"/>
      <c r="J45" s="24"/>
      <c r="K45" s="24"/>
      <c r="L45" s="24" t="s">
        <v>541</v>
      </c>
      <c r="M45" s="25" t="n">
        <v>46275</v>
      </c>
    </row>
    <row r="46" customFormat="false" ht="21" hidden="false" customHeight="true" outlineLevel="0" collapsed="false">
      <c r="A46" s="24" t="s">
        <v>536</v>
      </c>
      <c r="B46" s="24" t="s">
        <v>540</v>
      </c>
      <c r="C46" s="24" t="s">
        <v>42</v>
      </c>
      <c r="D46" s="24" t="s">
        <v>538</v>
      </c>
      <c r="E46" s="24"/>
      <c r="F46" s="24" t="s">
        <v>412</v>
      </c>
      <c r="G46" s="24" t="s">
        <v>243</v>
      </c>
      <c r="H46" s="24" t="s">
        <v>377</v>
      </c>
      <c r="I46" s="24" t="s">
        <v>53</v>
      </c>
      <c r="J46" s="24"/>
      <c r="K46" s="24"/>
      <c r="L46" s="24" t="s">
        <v>541</v>
      </c>
      <c r="M46" s="25" t="n">
        <v>46275</v>
      </c>
    </row>
    <row r="47" customFormat="false" ht="21" hidden="false" customHeight="true" outlineLevel="0" collapsed="false">
      <c r="A47" s="24" t="s">
        <v>536</v>
      </c>
      <c r="B47" s="24" t="s">
        <v>540</v>
      </c>
      <c r="C47" s="24" t="s">
        <v>42</v>
      </c>
      <c r="D47" s="24" t="s">
        <v>538</v>
      </c>
      <c r="E47" s="24"/>
      <c r="F47" s="24" t="s">
        <v>420</v>
      </c>
      <c r="G47" s="24" t="s">
        <v>243</v>
      </c>
      <c r="H47" s="24" t="s">
        <v>421</v>
      </c>
      <c r="I47" s="24" t="s">
        <v>43</v>
      </c>
      <c r="J47" s="24"/>
      <c r="K47" s="24"/>
      <c r="L47" s="24" t="s">
        <v>541</v>
      </c>
      <c r="M47" s="25" t="n">
        <v>46275</v>
      </c>
    </row>
    <row r="48" customFormat="false" ht="21" hidden="false" customHeight="true" outlineLevel="0" collapsed="false">
      <c r="A48" s="24" t="s">
        <v>536</v>
      </c>
      <c r="B48" s="24" t="s">
        <v>540</v>
      </c>
      <c r="C48" s="24" t="s">
        <v>42</v>
      </c>
      <c r="D48" s="24" t="s">
        <v>538</v>
      </c>
      <c r="E48" s="24"/>
      <c r="F48" s="24" t="s">
        <v>454</v>
      </c>
      <c r="G48" s="24" t="s">
        <v>440</v>
      </c>
      <c r="H48" s="24" t="s">
        <v>408</v>
      </c>
      <c r="I48" s="24"/>
      <c r="J48" s="24"/>
      <c r="K48" s="24"/>
      <c r="L48" s="24" t="s">
        <v>541</v>
      </c>
      <c r="M48" s="25" t="n">
        <v>46275</v>
      </c>
    </row>
    <row r="49" customFormat="false" ht="21" hidden="false" customHeight="true" outlineLevel="0" collapsed="false">
      <c r="A49" s="24" t="s">
        <v>542</v>
      </c>
      <c r="B49" s="24" t="s">
        <v>543</v>
      </c>
      <c r="C49" s="24" t="s">
        <v>47</v>
      </c>
      <c r="D49" s="24" t="s">
        <v>544</v>
      </c>
      <c r="E49" s="24" t="s">
        <v>257</v>
      </c>
      <c r="F49" s="24" t="s">
        <v>257</v>
      </c>
      <c r="G49" s="24" t="s">
        <v>243</v>
      </c>
      <c r="H49" s="24" t="s">
        <v>177</v>
      </c>
      <c r="I49" s="24" t="s">
        <v>48</v>
      </c>
      <c r="J49" s="24"/>
      <c r="K49" s="24"/>
      <c r="L49" s="24" t="s">
        <v>259</v>
      </c>
      <c r="M49" s="25" t="n">
        <v>46275</v>
      </c>
    </row>
    <row r="50" customFormat="false" ht="21" hidden="false" customHeight="true" outlineLevel="0" collapsed="false">
      <c r="A50" s="24" t="s">
        <v>542</v>
      </c>
      <c r="B50" s="24" t="s">
        <v>543</v>
      </c>
      <c r="C50" s="24" t="s">
        <v>47</v>
      </c>
      <c r="D50" s="24" t="s">
        <v>544</v>
      </c>
      <c r="E50" s="24" t="s">
        <v>257</v>
      </c>
      <c r="F50" s="24" t="s">
        <v>395</v>
      </c>
      <c r="G50" s="24" t="s">
        <v>243</v>
      </c>
      <c r="H50" s="24" t="s">
        <v>291</v>
      </c>
      <c r="I50" s="24"/>
      <c r="J50" s="24"/>
      <c r="K50" s="24"/>
      <c r="L50" s="24" t="s">
        <v>259</v>
      </c>
      <c r="M50" s="25" t="n">
        <v>46275</v>
      </c>
    </row>
    <row r="51" customFormat="false" ht="21" hidden="false" customHeight="true" outlineLevel="0" collapsed="false">
      <c r="A51" s="24" t="s">
        <v>542</v>
      </c>
      <c r="B51" s="24" t="s">
        <v>543</v>
      </c>
      <c r="C51" s="24" t="s">
        <v>47</v>
      </c>
      <c r="D51" s="24" t="s">
        <v>544</v>
      </c>
      <c r="E51" s="24" t="s">
        <v>257</v>
      </c>
      <c r="F51" s="24" t="s">
        <v>406</v>
      </c>
      <c r="G51" s="24" t="s">
        <v>243</v>
      </c>
      <c r="H51" s="24" t="s">
        <v>268</v>
      </c>
      <c r="I51" s="24"/>
      <c r="J51" s="24"/>
      <c r="K51" s="24"/>
      <c r="L51" s="24" t="s">
        <v>259</v>
      </c>
      <c r="M51" s="25" t="n">
        <v>46275</v>
      </c>
    </row>
    <row r="52" customFormat="false" ht="21" hidden="false" customHeight="true" outlineLevel="0" collapsed="false">
      <c r="A52" s="24" t="s">
        <v>542</v>
      </c>
      <c r="B52" s="24" t="s">
        <v>543</v>
      </c>
      <c r="C52" s="24" t="s">
        <v>47</v>
      </c>
      <c r="D52" s="24" t="s">
        <v>544</v>
      </c>
      <c r="E52" s="24" t="s">
        <v>257</v>
      </c>
      <c r="F52" s="24" t="s">
        <v>456</v>
      </c>
      <c r="G52" s="24" t="s">
        <v>440</v>
      </c>
      <c r="H52" s="24" t="s">
        <v>441</v>
      </c>
      <c r="I52" s="24"/>
      <c r="J52" s="24"/>
      <c r="K52" s="24"/>
      <c r="L52" s="24" t="s">
        <v>259</v>
      </c>
      <c r="M52" s="25" t="n">
        <v>46275</v>
      </c>
    </row>
    <row r="53" customFormat="false" ht="21" hidden="false" customHeight="true" outlineLevel="0" collapsed="false">
      <c r="A53" s="24" t="s">
        <v>542</v>
      </c>
      <c r="B53" s="24" t="s">
        <v>543</v>
      </c>
      <c r="C53" s="24" t="s">
        <v>47</v>
      </c>
      <c r="D53" s="24" t="s">
        <v>544</v>
      </c>
      <c r="E53" s="24" t="s">
        <v>257</v>
      </c>
      <c r="F53" s="24" t="s">
        <v>463</v>
      </c>
      <c r="G53" s="24" t="s">
        <v>440</v>
      </c>
      <c r="H53" s="24" t="s">
        <v>284</v>
      </c>
      <c r="I53" s="24"/>
      <c r="J53" s="24"/>
      <c r="K53" s="24"/>
      <c r="L53" s="24" t="s">
        <v>259</v>
      </c>
      <c r="M53" s="25" t="n">
        <v>46275</v>
      </c>
    </row>
    <row r="54" customFormat="false" ht="21" hidden="false" customHeight="true" outlineLevel="0" collapsed="false">
      <c r="A54" s="24" t="s">
        <v>542</v>
      </c>
      <c r="B54" s="24" t="s">
        <v>545</v>
      </c>
      <c r="C54" s="24" t="s">
        <v>25</v>
      </c>
      <c r="D54" s="24" t="s">
        <v>544</v>
      </c>
      <c r="E54" s="24" t="s">
        <v>297</v>
      </c>
      <c r="F54" s="24" t="s">
        <v>266</v>
      </c>
      <c r="G54" s="24" t="s">
        <v>243</v>
      </c>
      <c r="H54" s="24" t="s">
        <v>268</v>
      </c>
      <c r="I54" s="24" t="s">
        <v>26</v>
      </c>
      <c r="J54" s="24"/>
      <c r="K54" s="24"/>
      <c r="L54" s="24" t="s">
        <v>299</v>
      </c>
      <c r="M54" s="25" t="n">
        <v>46275</v>
      </c>
    </row>
    <row r="55" customFormat="false" ht="21" hidden="false" customHeight="true" outlineLevel="0" collapsed="false">
      <c r="A55" s="24" t="s">
        <v>542</v>
      </c>
      <c r="B55" s="24" t="s">
        <v>545</v>
      </c>
      <c r="C55" s="24" t="s">
        <v>25</v>
      </c>
      <c r="D55" s="24" t="s">
        <v>544</v>
      </c>
      <c r="E55" s="24" t="s">
        <v>297</v>
      </c>
      <c r="F55" s="24" t="s">
        <v>297</v>
      </c>
      <c r="G55" s="24" t="s">
        <v>243</v>
      </c>
      <c r="H55" s="24" t="s">
        <v>177</v>
      </c>
      <c r="I55" s="24" t="s">
        <v>45</v>
      </c>
      <c r="J55" s="24"/>
      <c r="K55" s="24"/>
      <c r="L55" s="24" t="s">
        <v>299</v>
      </c>
      <c r="M55" s="25" t="n">
        <v>46275</v>
      </c>
    </row>
    <row r="56" customFormat="false" ht="21" hidden="false" customHeight="true" outlineLevel="0" collapsed="false">
      <c r="A56" s="24" t="s">
        <v>542</v>
      </c>
      <c r="B56" s="24" t="s">
        <v>545</v>
      </c>
      <c r="C56" s="24" t="s">
        <v>25</v>
      </c>
      <c r="D56" s="24" t="s">
        <v>544</v>
      </c>
      <c r="E56" s="24" t="s">
        <v>297</v>
      </c>
      <c r="F56" s="24" t="s">
        <v>306</v>
      </c>
      <c r="G56" s="24" t="s">
        <v>243</v>
      </c>
      <c r="H56" s="24" t="s">
        <v>307</v>
      </c>
      <c r="I56" s="24" t="s">
        <v>55</v>
      </c>
      <c r="J56" s="24"/>
      <c r="K56" s="24"/>
      <c r="L56" s="24" t="s">
        <v>299</v>
      </c>
      <c r="M56" s="25" t="n">
        <v>46275</v>
      </c>
    </row>
    <row r="57" customFormat="false" ht="21" hidden="false" customHeight="true" outlineLevel="0" collapsed="false">
      <c r="A57" s="24" t="s">
        <v>542</v>
      </c>
      <c r="B57" s="24" t="s">
        <v>545</v>
      </c>
      <c r="C57" s="24" t="s">
        <v>25</v>
      </c>
      <c r="D57" s="24" t="s">
        <v>544</v>
      </c>
      <c r="E57" s="24" t="s">
        <v>297</v>
      </c>
      <c r="F57" s="24" t="s">
        <v>341</v>
      </c>
      <c r="G57" s="24" t="s">
        <v>243</v>
      </c>
      <c r="H57" s="24" t="s">
        <v>334</v>
      </c>
      <c r="I57" s="24" t="s">
        <v>28</v>
      </c>
      <c r="J57" s="24"/>
      <c r="K57" s="24"/>
      <c r="L57" s="24" t="s">
        <v>299</v>
      </c>
      <c r="M57" s="25" t="n">
        <v>46275</v>
      </c>
    </row>
    <row r="58" customFormat="false" ht="21" hidden="false" customHeight="true" outlineLevel="0" collapsed="false">
      <c r="A58" s="24" t="s">
        <v>542</v>
      </c>
      <c r="B58" s="24" t="s">
        <v>545</v>
      </c>
      <c r="C58" s="24" t="s">
        <v>25</v>
      </c>
      <c r="D58" s="24" t="s">
        <v>544</v>
      </c>
      <c r="E58" s="24" t="s">
        <v>297</v>
      </c>
      <c r="F58" s="24" t="s">
        <v>367</v>
      </c>
      <c r="G58" s="24" t="s">
        <v>243</v>
      </c>
      <c r="H58" s="24" t="s">
        <v>368</v>
      </c>
      <c r="I58" s="24"/>
      <c r="J58" s="24"/>
      <c r="K58" s="24"/>
      <c r="L58" s="24" t="s">
        <v>299</v>
      </c>
      <c r="M58" s="25" t="n">
        <v>46275</v>
      </c>
    </row>
    <row r="59" customFormat="false" ht="21" hidden="false" customHeight="true" outlineLevel="0" collapsed="false">
      <c r="A59" s="24" t="s">
        <v>542</v>
      </c>
      <c r="B59" s="24" t="s">
        <v>545</v>
      </c>
      <c r="C59" s="24" t="s">
        <v>25</v>
      </c>
      <c r="D59" s="24" t="s">
        <v>544</v>
      </c>
      <c r="E59" s="24" t="s">
        <v>297</v>
      </c>
      <c r="F59" s="24" t="s">
        <v>409</v>
      </c>
      <c r="G59" s="24" t="s">
        <v>243</v>
      </c>
      <c r="H59" s="24" t="s">
        <v>334</v>
      </c>
      <c r="I59" s="24"/>
      <c r="J59" s="24"/>
      <c r="K59" s="24"/>
      <c r="L59" s="24" t="s">
        <v>299</v>
      </c>
      <c r="M59" s="25" t="n">
        <v>46275</v>
      </c>
    </row>
    <row r="60" customFormat="false" ht="21" hidden="false" customHeight="true" outlineLevel="0" collapsed="false">
      <c r="A60" s="24" t="s">
        <v>542</v>
      </c>
      <c r="B60" s="24" t="s">
        <v>545</v>
      </c>
      <c r="C60" s="24" t="s">
        <v>25</v>
      </c>
      <c r="D60" s="24" t="s">
        <v>544</v>
      </c>
      <c r="E60" s="24" t="s">
        <v>297</v>
      </c>
      <c r="F60" s="24" t="s">
        <v>425</v>
      </c>
      <c r="G60" s="24" t="s">
        <v>243</v>
      </c>
      <c r="H60" s="24" t="s">
        <v>334</v>
      </c>
      <c r="I60" s="24" t="s">
        <v>83</v>
      </c>
      <c r="J60" s="24"/>
      <c r="K60" s="24"/>
      <c r="L60" s="24" t="s">
        <v>299</v>
      </c>
      <c r="M60" s="25" t="n">
        <v>46275</v>
      </c>
    </row>
    <row r="61" customFormat="false" ht="21" hidden="false" customHeight="true" outlineLevel="0" collapsed="false">
      <c r="A61" s="24" t="s">
        <v>542</v>
      </c>
      <c r="B61" s="24" t="s">
        <v>545</v>
      </c>
      <c r="C61" s="24" t="s">
        <v>25</v>
      </c>
      <c r="D61" s="24" t="s">
        <v>544</v>
      </c>
      <c r="E61" s="24" t="s">
        <v>297</v>
      </c>
      <c r="F61" s="24" t="s">
        <v>428</v>
      </c>
      <c r="G61" s="24" t="s">
        <v>243</v>
      </c>
      <c r="H61" s="24" t="s">
        <v>368</v>
      </c>
      <c r="I61" s="24" t="s">
        <v>55</v>
      </c>
      <c r="J61" s="24"/>
      <c r="K61" s="24"/>
      <c r="L61" s="24" t="s">
        <v>299</v>
      </c>
      <c r="M61" s="25" t="n">
        <v>46275</v>
      </c>
    </row>
    <row r="62" customFormat="false" ht="21" hidden="false" customHeight="true" outlineLevel="0" collapsed="false">
      <c r="A62" s="24" t="s">
        <v>542</v>
      </c>
      <c r="B62" s="24" t="s">
        <v>545</v>
      </c>
      <c r="C62" s="24" t="s">
        <v>25</v>
      </c>
      <c r="D62" s="24" t="s">
        <v>544</v>
      </c>
      <c r="E62" s="24" t="s">
        <v>297</v>
      </c>
      <c r="F62" s="24" t="s">
        <v>269</v>
      </c>
      <c r="G62" s="24" t="s">
        <v>243</v>
      </c>
      <c r="H62" s="24" t="s">
        <v>334</v>
      </c>
      <c r="I62" s="24" t="s">
        <v>26</v>
      </c>
      <c r="J62" s="24"/>
      <c r="K62" s="24"/>
      <c r="L62" s="24" t="s">
        <v>299</v>
      </c>
      <c r="M62" s="25" t="n">
        <v>46275</v>
      </c>
    </row>
    <row r="63" customFormat="false" ht="21" hidden="false" customHeight="true" outlineLevel="0" collapsed="false">
      <c r="A63" s="24" t="s">
        <v>542</v>
      </c>
      <c r="B63" s="24" t="s">
        <v>545</v>
      </c>
      <c r="C63" s="24" t="s">
        <v>25</v>
      </c>
      <c r="D63" s="24" t="s">
        <v>544</v>
      </c>
      <c r="E63" s="24" t="s">
        <v>297</v>
      </c>
      <c r="F63" s="24" t="s">
        <v>431</v>
      </c>
      <c r="G63" s="24" t="s">
        <v>243</v>
      </c>
      <c r="H63" s="24" t="s">
        <v>284</v>
      </c>
      <c r="I63" s="24" t="s">
        <v>77</v>
      </c>
      <c r="J63" s="24"/>
      <c r="K63" s="24"/>
      <c r="L63" s="24" t="s">
        <v>299</v>
      </c>
      <c r="M63" s="25" t="n">
        <v>46275</v>
      </c>
    </row>
    <row r="64" customFormat="false" ht="21" hidden="false" customHeight="true" outlineLevel="0" collapsed="false">
      <c r="A64" s="24" t="s">
        <v>542</v>
      </c>
      <c r="B64" s="24" t="s">
        <v>545</v>
      </c>
      <c r="C64" s="24" t="s">
        <v>25</v>
      </c>
      <c r="D64" s="24" t="s">
        <v>544</v>
      </c>
      <c r="E64" s="24" t="s">
        <v>297</v>
      </c>
      <c r="F64" s="24" t="s">
        <v>464</v>
      </c>
      <c r="G64" s="24" t="s">
        <v>440</v>
      </c>
      <c r="H64" s="24" t="s">
        <v>408</v>
      </c>
      <c r="I64" s="24" t="s">
        <v>45</v>
      </c>
      <c r="J64" s="24"/>
      <c r="K64" s="24"/>
      <c r="L64" s="24" t="s">
        <v>299</v>
      </c>
      <c r="M64" s="25" t="n">
        <v>46275</v>
      </c>
    </row>
    <row r="65" customFormat="false" ht="21" hidden="false" customHeight="true" outlineLevel="0" collapsed="false">
      <c r="A65" s="24" t="s">
        <v>542</v>
      </c>
      <c r="B65" s="24" t="s">
        <v>545</v>
      </c>
      <c r="C65" s="24" t="s">
        <v>25</v>
      </c>
      <c r="D65" s="24" t="s">
        <v>544</v>
      </c>
      <c r="E65" s="24" t="s">
        <v>297</v>
      </c>
      <c r="F65" s="24" t="s">
        <v>465</v>
      </c>
      <c r="G65" s="24" t="s">
        <v>440</v>
      </c>
      <c r="H65" s="24" t="s">
        <v>377</v>
      </c>
      <c r="I65" s="24" t="s">
        <v>55</v>
      </c>
      <c r="J65" s="24"/>
      <c r="K65" s="24"/>
      <c r="L65" s="24" t="s">
        <v>299</v>
      </c>
      <c r="M65" s="25" t="n">
        <v>46275</v>
      </c>
    </row>
    <row r="66" customFormat="false" ht="21" hidden="false" customHeight="true" outlineLevel="0" collapsed="false">
      <c r="A66" s="24" t="s">
        <v>542</v>
      </c>
      <c r="B66" s="24" t="s">
        <v>546</v>
      </c>
      <c r="C66" s="24" t="s">
        <v>162</v>
      </c>
      <c r="D66" s="24" t="s">
        <v>544</v>
      </c>
      <c r="E66" s="24" t="s">
        <v>300</v>
      </c>
      <c r="F66" s="24" t="s">
        <v>300</v>
      </c>
      <c r="G66" s="24" t="s">
        <v>243</v>
      </c>
      <c r="H66" s="24" t="s">
        <v>252</v>
      </c>
      <c r="I66" s="24"/>
      <c r="J66" s="24"/>
      <c r="K66" s="24"/>
      <c r="L66" s="24" t="s">
        <v>302</v>
      </c>
      <c r="M66" s="25" t="n">
        <v>46275</v>
      </c>
    </row>
    <row r="67" customFormat="false" ht="21" hidden="false" customHeight="true" outlineLevel="0" collapsed="false">
      <c r="A67" s="24" t="s">
        <v>542</v>
      </c>
      <c r="B67" s="24" t="s">
        <v>546</v>
      </c>
      <c r="C67" s="24" t="s">
        <v>162</v>
      </c>
      <c r="D67" s="24" t="s">
        <v>544</v>
      </c>
      <c r="E67" s="24" t="s">
        <v>300</v>
      </c>
      <c r="F67" s="24" t="s">
        <v>325</v>
      </c>
      <c r="G67" s="24" t="s">
        <v>243</v>
      </c>
      <c r="H67" s="24" t="s">
        <v>321</v>
      </c>
      <c r="I67" s="24"/>
      <c r="J67" s="24"/>
      <c r="K67" s="24"/>
      <c r="L67" s="24" t="s">
        <v>302</v>
      </c>
      <c r="M67" s="25" t="n">
        <v>46275</v>
      </c>
    </row>
    <row r="68" customFormat="false" ht="21" hidden="false" customHeight="true" outlineLevel="0" collapsed="false">
      <c r="A68" s="24" t="s">
        <v>542</v>
      </c>
      <c r="B68" s="24" t="s">
        <v>546</v>
      </c>
      <c r="C68" s="24" t="s">
        <v>162</v>
      </c>
      <c r="D68" s="24" t="s">
        <v>544</v>
      </c>
      <c r="E68" s="24" t="s">
        <v>300</v>
      </c>
      <c r="F68" s="24" t="s">
        <v>416</v>
      </c>
      <c r="G68" s="24" t="s">
        <v>243</v>
      </c>
      <c r="H68" s="24" t="s">
        <v>417</v>
      </c>
      <c r="I68" s="24"/>
      <c r="J68" s="24"/>
      <c r="K68" s="24"/>
      <c r="L68" s="24" t="s">
        <v>302</v>
      </c>
      <c r="M68" s="25" t="n">
        <v>46275</v>
      </c>
    </row>
    <row r="69" customFormat="false" ht="21" hidden="false" customHeight="true" outlineLevel="0" collapsed="false">
      <c r="A69" s="24" t="s">
        <v>542</v>
      </c>
      <c r="B69" s="24" t="s">
        <v>546</v>
      </c>
      <c r="C69" s="24" t="s">
        <v>162</v>
      </c>
      <c r="D69" s="24" t="s">
        <v>544</v>
      </c>
      <c r="E69" s="24" t="s">
        <v>300</v>
      </c>
      <c r="F69" s="24" t="s">
        <v>449</v>
      </c>
      <c r="G69" s="24" t="s">
        <v>440</v>
      </c>
      <c r="H69" s="24" t="s">
        <v>441</v>
      </c>
      <c r="I69" s="24"/>
      <c r="J69" s="24"/>
      <c r="K69" s="24"/>
      <c r="L69" s="24" t="s">
        <v>302</v>
      </c>
      <c r="M69" s="25" t="n">
        <v>46275</v>
      </c>
    </row>
    <row r="70" customFormat="false" ht="21" hidden="false" customHeight="true" outlineLevel="0" collapsed="false">
      <c r="A70" s="24" t="s">
        <v>542</v>
      </c>
      <c r="B70" s="24" t="s">
        <v>546</v>
      </c>
      <c r="C70" s="24" t="s">
        <v>162</v>
      </c>
      <c r="D70" s="24" t="s">
        <v>544</v>
      </c>
      <c r="E70" s="24" t="s">
        <v>300</v>
      </c>
      <c r="F70" s="24" t="s">
        <v>457</v>
      </c>
      <c r="G70" s="24" t="s">
        <v>440</v>
      </c>
      <c r="H70" s="24" t="s">
        <v>441</v>
      </c>
      <c r="I70" s="24"/>
      <c r="J70" s="24"/>
      <c r="K70" s="24"/>
      <c r="L70" s="24" t="s">
        <v>302</v>
      </c>
      <c r="M70" s="25" t="n">
        <v>46275</v>
      </c>
    </row>
    <row r="71" customFormat="false" ht="21" hidden="false" customHeight="true" outlineLevel="0" collapsed="false">
      <c r="A71" s="24" t="s">
        <v>542</v>
      </c>
      <c r="B71" s="24" t="s">
        <v>547</v>
      </c>
      <c r="C71" s="24" t="s">
        <v>50</v>
      </c>
      <c r="D71" s="24" t="s">
        <v>544</v>
      </c>
      <c r="E71" s="24" t="s">
        <v>303</v>
      </c>
      <c r="F71" s="24" t="s">
        <v>303</v>
      </c>
      <c r="G71" s="24" t="s">
        <v>243</v>
      </c>
      <c r="H71" s="24" t="s">
        <v>304</v>
      </c>
      <c r="I71" s="24"/>
      <c r="J71" s="24"/>
      <c r="K71" s="24"/>
      <c r="L71" s="24" t="s">
        <v>305</v>
      </c>
      <c r="M71" s="25" t="n">
        <v>46275</v>
      </c>
    </row>
    <row r="72" customFormat="false" ht="21" hidden="false" customHeight="true" outlineLevel="0" collapsed="false">
      <c r="A72" s="24" t="s">
        <v>542</v>
      </c>
      <c r="B72" s="24" t="s">
        <v>547</v>
      </c>
      <c r="C72" s="24" t="s">
        <v>50</v>
      </c>
      <c r="D72" s="24" t="s">
        <v>544</v>
      </c>
      <c r="E72" s="24" t="s">
        <v>303</v>
      </c>
      <c r="F72" s="24" t="s">
        <v>309</v>
      </c>
      <c r="G72" s="24" t="s">
        <v>243</v>
      </c>
      <c r="H72" s="24" t="s">
        <v>291</v>
      </c>
      <c r="I72" s="24" t="s">
        <v>107</v>
      </c>
      <c r="J72" s="24"/>
      <c r="K72" s="24"/>
      <c r="L72" s="24" t="s">
        <v>305</v>
      </c>
      <c r="M72" s="25" t="n">
        <v>46275</v>
      </c>
    </row>
    <row r="73" customFormat="false" ht="21" hidden="false" customHeight="true" outlineLevel="0" collapsed="false">
      <c r="A73" s="24" t="s">
        <v>542</v>
      </c>
      <c r="B73" s="24" t="s">
        <v>547</v>
      </c>
      <c r="C73" s="24" t="s">
        <v>50</v>
      </c>
      <c r="D73" s="24" t="s">
        <v>544</v>
      </c>
      <c r="E73" s="24" t="s">
        <v>303</v>
      </c>
      <c r="F73" s="24" t="s">
        <v>314</v>
      </c>
      <c r="G73" s="24" t="s">
        <v>243</v>
      </c>
      <c r="H73" s="24" t="s">
        <v>252</v>
      </c>
      <c r="I73" s="24" t="s">
        <v>81</v>
      </c>
      <c r="J73" s="24"/>
      <c r="K73" s="24"/>
      <c r="L73" s="24" t="s">
        <v>305</v>
      </c>
      <c r="M73" s="25" t="n">
        <v>46275</v>
      </c>
    </row>
    <row r="74" customFormat="false" ht="21" hidden="false" customHeight="true" outlineLevel="0" collapsed="false">
      <c r="A74" s="24" t="s">
        <v>542</v>
      </c>
      <c r="B74" s="24" t="s">
        <v>547</v>
      </c>
      <c r="C74" s="24" t="s">
        <v>50</v>
      </c>
      <c r="D74" s="24" t="s">
        <v>544</v>
      </c>
      <c r="E74" s="24" t="s">
        <v>303</v>
      </c>
      <c r="F74" s="24" t="s">
        <v>320</v>
      </c>
      <c r="G74" s="24" t="s">
        <v>243</v>
      </c>
      <c r="H74" s="24" t="s">
        <v>321</v>
      </c>
      <c r="I74" s="24" t="s">
        <v>81</v>
      </c>
      <c r="J74" s="24"/>
      <c r="K74" s="24"/>
      <c r="L74" s="24" t="s">
        <v>305</v>
      </c>
      <c r="M74" s="25" t="n">
        <v>46275</v>
      </c>
    </row>
    <row r="75" customFormat="false" ht="21" hidden="false" customHeight="true" outlineLevel="0" collapsed="false">
      <c r="A75" s="24" t="s">
        <v>542</v>
      </c>
      <c r="B75" s="24" t="s">
        <v>547</v>
      </c>
      <c r="C75" s="24" t="s">
        <v>50</v>
      </c>
      <c r="D75" s="24" t="s">
        <v>544</v>
      </c>
      <c r="E75" s="24" t="s">
        <v>303</v>
      </c>
      <c r="F75" s="24" t="s">
        <v>323</v>
      </c>
      <c r="G75" s="24" t="s">
        <v>243</v>
      </c>
      <c r="H75" s="24" t="s">
        <v>291</v>
      </c>
      <c r="I75" s="24" t="s">
        <v>104</v>
      </c>
      <c r="J75" s="24"/>
      <c r="K75" s="24"/>
      <c r="L75" s="24" t="s">
        <v>305</v>
      </c>
      <c r="M75" s="25" t="n">
        <v>46275</v>
      </c>
    </row>
    <row r="76" customFormat="false" ht="21" hidden="false" customHeight="true" outlineLevel="0" collapsed="false">
      <c r="A76" s="24" t="s">
        <v>542</v>
      </c>
      <c r="B76" s="24" t="s">
        <v>547</v>
      </c>
      <c r="C76" s="24" t="s">
        <v>50</v>
      </c>
      <c r="D76" s="24" t="s">
        <v>544</v>
      </c>
      <c r="E76" s="24" t="s">
        <v>303</v>
      </c>
      <c r="F76" s="24" t="s">
        <v>333</v>
      </c>
      <c r="G76" s="24" t="s">
        <v>243</v>
      </c>
      <c r="H76" s="24" t="s">
        <v>334</v>
      </c>
      <c r="I76" s="24" t="s">
        <v>81</v>
      </c>
      <c r="J76" s="24"/>
      <c r="K76" s="24"/>
      <c r="L76" s="24" t="s">
        <v>305</v>
      </c>
      <c r="M76" s="25" t="n">
        <v>46275</v>
      </c>
    </row>
    <row r="77" customFormat="false" ht="21" hidden="false" customHeight="true" outlineLevel="0" collapsed="false">
      <c r="A77" s="24" t="s">
        <v>542</v>
      </c>
      <c r="B77" s="24" t="s">
        <v>547</v>
      </c>
      <c r="C77" s="24" t="s">
        <v>50</v>
      </c>
      <c r="D77" s="24" t="s">
        <v>544</v>
      </c>
      <c r="E77" s="24" t="s">
        <v>303</v>
      </c>
      <c r="F77" s="24" t="s">
        <v>387</v>
      </c>
      <c r="G77" s="24" t="s">
        <v>243</v>
      </c>
      <c r="H77" s="24" t="s">
        <v>388</v>
      </c>
      <c r="I77" s="24" t="s">
        <v>51</v>
      </c>
      <c r="J77" s="24"/>
      <c r="K77" s="24"/>
      <c r="L77" s="24" t="s">
        <v>305</v>
      </c>
      <c r="M77" s="25" t="n">
        <v>46275</v>
      </c>
    </row>
    <row r="78" customFormat="false" ht="21" hidden="false" customHeight="true" outlineLevel="0" collapsed="false">
      <c r="A78" s="24" t="s">
        <v>542</v>
      </c>
      <c r="B78" s="24" t="s">
        <v>548</v>
      </c>
      <c r="C78" s="24" t="s">
        <v>57</v>
      </c>
      <c r="D78" s="24" t="s">
        <v>544</v>
      </c>
      <c r="E78" s="24" t="s">
        <v>262</v>
      </c>
      <c r="F78" s="24" t="s">
        <v>260</v>
      </c>
      <c r="G78" s="24" t="s">
        <v>243</v>
      </c>
      <c r="H78" s="24" t="s">
        <v>261</v>
      </c>
      <c r="I78" s="24"/>
      <c r="J78" s="24"/>
      <c r="K78" s="24"/>
      <c r="L78" s="24" t="s">
        <v>264</v>
      </c>
      <c r="M78" s="25" t="n">
        <v>46275</v>
      </c>
    </row>
    <row r="79" customFormat="false" ht="21" hidden="false" customHeight="true" outlineLevel="0" collapsed="false">
      <c r="A79" s="24" t="s">
        <v>542</v>
      </c>
      <c r="B79" s="24" t="s">
        <v>548</v>
      </c>
      <c r="C79" s="24" t="s">
        <v>57</v>
      </c>
      <c r="D79" s="24" t="s">
        <v>544</v>
      </c>
      <c r="E79" s="24" t="s">
        <v>262</v>
      </c>
      <c r="F79" s="24" t="s">
        <v>262</v>
      </c>
      <c r="G79" s="24" t="s">
        <v>243</v>
      </c>
      <c r="H79" s="24" t="s">
        <v>358</v>
      </c>
      <c r="I79" s="24" t="s">
        <v>58</v>
      </c>
      <c r="J79" s="24"/>
      <c r="K79" s="24"/>
      <c r="L79" s="24" t="s">
        <v>264</v>
      </c>
      <c r="M79" s="25" t="n">
        <v>46275</v>
      </c>
    </row>
    <row r="80" customFormat="false" ht="21" hidden="false" customHeight="true" outlineLevel="0" collapsed="false">
      <c r="A80" s="24" t="s">
        <v>542</v>
      </c>
      <c r="B80" s="24" t="s">
        <v>549</v>
      </c>
      <c r="C80" s="24" t="s">
        <v>218</v>
      </c>
      <c r="D80" s="24" t="s">
        <v>544</v>
      </c>
      <c r="E80" s="24" t="s">
        <v>390</v>
      </c>
      <c r="F80" s="24" t="s">
        <v>390</v>
      </c>
      <c r="G80" s="24" t="s">
        <v>243</v>
      </c>
      <c r="H80" s="24" t="s">
        <v>391</v>
      </c>
      <c r="I80" s="24" t="s">
        <v>67</v>
      </c>
      <c r="J80" s="24"/>
      <c r="K80" s="24"/>
      <c r="L80" s="24" t="s">
        <v>393</v>
      </c>
      <c r="M80" s="25" t="n">
        <v>46275</v>
      </c>
    </row>
    <row r="81" customFormat="false" ht="21" hidden="false" customHeight="true" outlineLevel="0" collapsed="false">
      <c r="A81" s="24" t="s">
        <v>542</v>
      </c>
      <c r="B81" s="24" t="s">
        <v>549</v>
      </c>
      <c r="C81" s="24" t="s">
        <v>218</v>
      </c>
      <c r="D81" s="24" t="s">
        <v>544</v>
      </c>
      <c r="E81" s="24" t="s">
        <v>390</v>
      </c>
      <c r="F81" s="24" t="s">
        <v>438</v>
      </c>
      <c r="G81" s="24" t="s">
        <v>440</v>
      </c>
      <c r="H81" s="24" t="s">
        <v>368</v>
      </c>
      <c r="I81" s="24"/>
      <c r="J81" s="24"/>
      <c r="K81" s="24"/>
      <c r="L81" s="24" t="s">
        <v>393</v>
      </c>
      <c r="M81" s="25" t="n">
        <v>46275</v>
      </c>
    </row>
    <row r="82" customFormat="false" ht="21" hidden="false" customHeight="true" outlineLevel="0" collapsed="false">
      <c r="A82" s="24" t="s">
        <v>133</v>
      </c>
      <c r="B82" s="24" t="s">
        <v>550</v>
      </c>
      <c r="C82" s="24" t="s">
        <v>133</v>
      </c>
      <c r="D82" s="24" t="s">
        <v>535</v>
      </c>
      <c r="E82" s="24"/>
      <c r="F82" s="24" t="s">
        <v>242</v>
      </c>
      <c r="G82" s="24" t="s">
        <v>243</v>
      </c>
      <c r="H82" s="24" t="s">
        <v>245</v>
      </c>
      <c r="I82" s="24"/>
      <c r="J82" s="24" t="s">
        <v>246</v>
      </c>
      <c r="K82" s="24"/>
      <c r="L82" s="24" t="s">
        <v>248</v>
      </c>
      <c r="M82" s="25" t="n">
        <v>46275</v>
      </c>
    </row>
    <row r="83" customFormat="false" ht="21" hidden="false" customHeight="true" outlineLevel="0" collapsed="false">
      <c r="A83" s="24" t="s">
        <v>133</v>
      </c>
      <c r="B83" s="24" t="s">
        <v>550</v>
      </c>
      <c r="C83" s="24" t="s">
        <v>133</v>
      </c>
      <c r="D83" s="24" t="s">
        <v>535</v>
      </c>
      <c r="E83" s="24"/>
      <c r="F83" s="24" t="s">
        <v>271</v>
      </c>
      <c r="G83" s="24" t="s">
        <v>243</v>
      </c>
      <c r="H83" s="24" t="s">
        <v>272</v>
      </c>
      <c r="I83" s="24"/>
      <c r="J83" s="24" t="s">
        <v>273</v>
      </c>
      <c r="K83" s="24"/>
      <c r="L83" s="24" t="s">
        <v>248</v>
      </c>
      <c r="M83" s="25" t="n">
        <v>46275</v>
      </c>
    </row>
    <row r="84" customFormat="false" ht="21" hidden="false" customHeight="true" outlineLevel="0" collapsed="false">
      <c r="A84" s="24" t="s">
        <v>133</v>
      </c>
      <c r="B84" s="24" t="s">
        <v>550</v>
      </c>
      <c r="C84" s="24" t="s">
        <v>133</v>
      </c>
      <c r="D84" s="24" t="s">
        <v>535</v>
      </c>
      <c r="E84" s="24"/>
      <c r="F84" s="24" t="s">
        <v>279</v>
      </c>
      <c r="G84" s="24" t="s">
        <v>243</v>
      </c>
      <c r="H84" s="24" t="s">
        <v>280</v>
      </c>
      <c r="I84" s="24"/>
      <c r="J84" s="24" t="s">
        <v>281</v>
      </c>
      <c r="K84" s="24"/>
      <c r="L84" s="24" t="s">
        <v>248</v>
      </c>
      <c r="M84" s="25" t="n">
        <v>46275</v>
      </c>
    </row>
    <row r="85" customFormat="false" ht="21" hidden="false" customHeight="true" outlineLevel="0" collapsed="false">
      <c r="A85" s="24" t="s">
        <v>133</v>
      </c>
      <c r="B85" s="24" t="s">
        <v>550</v>
      </c>
      <c r="C85" s="24" t="s">
        <v>133</v>
      </c>
      <c r="D85" s="24" t="s">
        <v>535</v>
      </c>
      <c r="E85" s="24"/>
      <c r="F85" s="24" t="s">
        <v>315</v>
      </c>
      <c r="G85" s="24" t="s">
        <v>243</v>
      </c>
      <c r="H85" s="24" t="s">
        <v>316</v>
      </c>
      <c r="I85" s="24"/>
      <c r="J85" s="24" t="s">
        <v>317</v>
      </c>
      <c r="K85" s="24"/>
      <c r="L85" s="24" t="s">
        <v>248</v>
      </c>
      <c r="M85" s="25" t="n">
        <v>46275</v>
      </c>
    </row>
    <row r="86" customFormat="false" ht="21" hidden="false" customHeight="true" outlineLevel="0" collapsed="false">
      <c r="A86" s="24" t="s">
        <v>133</v>
      </c>
      <c r="B86" s="24" t="s">
        <v>550</v>
      </c>
      <c r="C86" s="24" t="s">
        <v>133</v>
      </c>
      <c r="D86" s="24" t="s">
        <v>535</v>
      </c>
      <c r="E86" s="24"/>
      <c r="F86" s="24" t="s">
        <v>337</v>
      </c>
      <c r="G86" s="24" t="s">
        <v>243</v>
      </c>
      <c r="H86" s="24" t="s">
        <v>338</v>
      </c>
      <c r="I86" s="24"/>
      <c r="J86" s="24" t="s">
        <v>339</v>
      </c>
      <c r="K86" s="24"/>
      <c r="L86" s="24" t="s">
        <v>248</v>
      </c>
      <c r="M86" s="25" t="n">
        <v>46275</v>
      </c>
    </row>
    <row r="87" customFormat="false" ht="21" hidden="false" customHeight="true" outlineLevel="0" collapsed="false">
      <c r="A87" s="24" t="s">
        <v>133</v>
      </c>
      <c r="B87" s="24" t="s">
        <v>550</v>
      </c>
      <c r="C87" s="24" t="s">
        <v>133</v>
      </c>
      <c r="D87" s="24" t="s">
        <v>535</v>
      </c>
      <c r="E87" s="24"/>
      <c r="F87" s="24" t="s">
        <v>363</v>
      </c>
      <c r="G87" s="24" t="s">
        <v>243</v>
      </c>
      <c r="H87" s="24" t="s">
        <v>364</v>
      </c>
      <c r="I87" s="24"/>
      <c r="J87" s="24" t="s">
        <v>365</v>
      </c>
      <c r="K87" s="24"/>
      <c r="L87" s="24" t="s">
        <v>248</v>
      </c>
      <c r="M87" s="25" t="n">
        <v>46275</v>
      </c>
    </row>
    <row r="88" customFormat="false" ht="21" hidden="false" customHeight="true" outlineLevel="0" collapsed="false">
      <c r="A88" s="24" t="s">
        <v>133</v>
      </c>
      <c r="B88" s="24" t="s">
        <v>550</v>
      </c>
      <c r="C88" s="24" t="s">
        <v>133</v>
      </c>
      <c r="D88" s="24" t="s">
        <v>535</v>
      </c>
      <c r="E88" s="24"/>
      <c r="F88" s="24" t="s">
        <v>380</v>
      </c>
      <c r="G88" s="24" t="s">
        <v>243</v>
      </c>
      <c r="H88" s="24" t="s">
        <v>245</v>
      </c>
      <c r="I88" s="24"/>
      <c r="J88" s="24" t="s">
        <v>381</v>
      </c>
      <c r="K88" s="24"/>
      <c r="L88" s="24" t="s">
        <v>248</v>
      </c>
      <c r="M88" s="25" t="n">
        <v>46275</v>
      </c>
    </row>
    <row r="89" customFormat="false" ht="21" hidden="false" customHeight="true" outlineLevel="0" collapsed="false">
      <c r="A89" s="24" t="s">
        <v>133</v>
      </c>
      <c r="B89" s="24" t="s">
        <v>550</v>
      </c>
      <c r="C89" s="24" t="s">
        <v>133</v>
      </c>
      <c r="D89" s="24" t="s">
        <v>535</v>
      </c>
      <c r="E89" s="24"/>
      <c r="F89" s="24" t="s">
        <v>399</v>
      </c>
      <c r="G89" s="24" t="s">
        <v>243</v>
      </c>
      <c r="H89" s="24" t="s">
        <v>400</v>
      </c>
      <c r="I89" s="24"/>
      <c r="J89" s="24" t="s">
        <v>401</v>
      </c>
      <c r="K89" s="24"/>
      <c r="L89" s="24" t="s">
        <v>248</v>
      </c>
      <c r="M89" s="25" t="n">
        <v>46275</v>
      </c>
    </row>
    <row r="90" customFormat="false" ht="21" hidden="false" customHeight="true" outlineLevel="0" collapsed="false">
      <c r="A90" s="26" t="s">
        <v>133</v>
      </c>
      <c r="B90" s="26" t="s">
        <v>550</v>
      </c>
      <c r="C90" s="26" t="s">
        <v>133</v>
      </c>
      <c r="D90" s="26" t="s">
        <v>535</v>
      </c>
      <c r="E90" s="26"/>
      <c r="F90" s="26" t="s">
        <v>432</v>
      </c>
      <c r="G90" s="26" t="s">
        <v>243</v>
      </c>
      <c r="H90" s="26" t="s">
        <v>400</v>
      </c>
      <c r="I90" s="26"/>
      <c r="J90" s="26" t="s">
        <v>381</v>
      </c>
      <c r="K90" s="26"/>
      <c r="L90" s="26" t="s">
        <v>248</v>
      </c>
      <c r="M90" s="27" t="n">
        <v>46275</v>
      </c>
    </row>
  </sheetData>
  <conditionalFormatting sqref="G2:G90">
    <cfRule type="expression" priority="2" aboveAverage="0" equalAverage="0" bottom="0" percent="0" rank="0" text="" dxfId="16">
      <formula>$G2="Actual"</formula>
    </cfRule>
    <cfRule type="expression" priority="3" aboveAverage="0" equalAverage="0" bottom="0" percent="0" rank="0" text="" dxfId="17">
      <formula>$G2="Exintegrante"</formula>
    </cfRule>
    <cfRule type="expression" priority="4" aboveAverage="0" equalAverage="0" bottom="0" percent="0" rank="0" text="" dxfId="18">
      <formula>LEFT($G2,9)="Conflicto"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2026-09-28T10:32:03Z</dcterms:modified>
  <cp:revision>1</cp:revision>
  <dc:subject/>
  <dc:title/>
</cp:coreProperties>
</file>