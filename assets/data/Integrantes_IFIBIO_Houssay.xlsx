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000626136045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dos los Integrantes (Web)" sheetId="1" r:id="R916540ca3bf04802"/>
    <x:sheet xmlns:r="http://schemas.openxmlformats.org/officeDocument/2006/relationships" name="Resumen por Laboratorio" sheetId="2" r:id="Re4912d16345d4441"/>
    <x:sheet xmlns:r="http://schemas.openxmlformats.org/officeDocument/2006/relationships" name="Resumen actualizado" sheetId="3" r:id="Re51e338c4d274b63"/>
    <x:sheet xmlns:r="http://schemas.openxmlformats.org/officeDocument/2006/relationships" name="Nómina depurada" sheetId="4" r:id="Rcc63761a35d641af"/>
    <x:sheet xmlns:r="http://schemas.openxmlformats.org/officeDocument/2006/relationships" name="Exintegrantes" sheetId="5" r:id="Ra36a991101f94e54"/>
    <x:sheet xmlns:r="http://schemas.openxmlformats.org/officeDocument/2006/relationships" name="Discrepancias" sheetId="6" r:id="R7f63d9d556a54d33"/>
    <x:sheet xmlns:r="http://schemas.openxmlformats.org/officeDocument/2006/relationships" name="Fuentes y método" sheetId="7" r:id="Ra0a17b7eb5604162"/>
    <x:sheet xmlns:r="http://schemas.openxmlformats.org/officeDocument/2006/relationships" name="Organigrama" sheetId="8" r:id="Re896451daf2f40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2">
    <x:font>
      <x:sz val="11"/>
      <x:color theme="1"/>
      <x:name val="Calibri"/>
    </x:font>
    <x:font>
      <x:b/>
      <x:sz val="14"/>
      <x:color rgb="FF1F497D"/>
      <x:name val="Arial"/>
    </x:font>
    <x:font>
      <x:i/>
      <x:sz val="10"/>
      <x:color rgb="FF595959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1"/>
      <x:color rgb="FF1F497D"/>
      <x:name val="Arial"/>
    </x:font>
    <x:font>
      <x:b/>
      <x:sz val="15"/>
      <x:color rgb="FFFFFFFF"/>
      <x:name val="Arial"/>
    </x:font>
    <x:font>
      <x:i/>
      <x:sz val="9"/>
      <x:color rgb="FF595959"/>
      <x:name val="Arial"/>
    </x:font>
    <x:font>
      <x:b/>
      <x:sz val="10"/>
      <x:color rgb="FFFFFFFF"/>
      <x:name val="Arial"/>
    </x:font>
    <x:font>
      <x:sz val="9"/>
      <x:color theme="1"/>
      <x:name val="Arial"/>
    </x:font>
    <x:font>
      <x:sz val="10"/>
      <x:color rgb="FF1F2937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97D"/>
      </x:patternFill>
    </x:fill>
    <x:fill>
      <x:patternFill patternType="solid">
        <x:fgColor rgb="FFFFFFFF"/>
      </x:patternFill>
    </x:fill>
    <x:fill>
      <x:patternFill patternType="solid">
        <x:fgColor rgb="FFF2F5F9"/>
      </x:patternFill>
    </x:fill>
    <x:fill>
      <x:patternFill patternType="solid">
        <x:fgColor rgb="FFD9E1F2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1E4E79"/>
      </x:patternFill>
    </x:fill>
  </x:fills>
  <x:borders count="10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/>
    <x:xf numFmtId="0" fontId="2" fillId="0" borderId="0" xfId="0"/>
    <x:xf numFmtId="0" fontId="3" fillId="2" borderId="1" xfId="0" applyAlignment="1">
      <x:alignment horizontal="center" vertical="center"/>
    </x:xf>
    <x:xf numFmtId="0" fontId="3" fillId="2" borderId="1" xfId="0" applyAlignment="1">
      <x:alignment horizontal="left" vertical="center"/>
    </x:xf>
    <x:xf numFmtId="0" fontId="4" fillId="3" borderId="1" xfId="0" applyAlignment="1">
      <x:alignment horizontal="center" vertical="center"/>
    </x:xf>
    <x:xf numFmtId="0" fontId="4" fillId="3" borderId="1" xfId="0" applyAlignment="1">
      <x:alignment horizontal="left" vertical="center"/>
    </x:xf>
    <x:xf numFmtId="0" fontId="4" fillId="4" borderId="1" xfId="0" applyAlignment="1">
      <x:alignment horizontal="center" vertical="center"/>
    </x:xf>
    <x:xf numFmtId="0" fontId="4" fillId="4" borderId="1" xfId="0" applyAlignment="1">
      <x:alignment horizontal="left" vertical="center"/>
    </x:xf>
    <x:xf numFmtId="0" fontId="4" fillId="3" borderId="1" xfId="0"/>
    <x:xf numFmtId="0" fontId="5" fillId="3" borderId="1" xfId="0" applyAlignment="1">
      <x:alignment horizontal="center" vertical="center"/>
    </x:xf>
    <x:xf numFmtId="0" fontId="4" fillId="4" borderId="1" xfId="0"/>
    <x:xf numFmtId="0" fontId="5" fillId="4" borderId="1" xfId="0" applyAlignment="1">
      <x:alignment horizontal="center" vertical="center"/>
    </x:xf>
    <x:xf numFmtId="0" fontId="5" fillId="5" borderId="1" xfId="0"/>
    <x:xf numFmtId="0" fontId="6" fillId="5" borderId="1" xfId="0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top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3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8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0" fontId="9" fillId="8" borderId="4" xfId="0" applyNumberFormat="1" applyFont="1" applyFill="1" applyBorder="1" applyAlignment="1">
      <x:alignment vertical="center"/>
    </x:xf>
    <x:xf numFmtId="0" fontId="9" fillId="8" borderId="5" xfId="0" applyNumberFormat="1" applyFont="1" applyFill="1" applyBorder="1" applyAlignment="1">
      <x:alignment vertical="center"/>
    </x:xf>
    <x:xf numFmtId="0" fontId="9" fillId="8" borderId="6" xfId="0" applyNumberFormat="1" applyFont="1" applyFill="1" applyBorder="1" applyAlignment="1">
      <x:alignment vertical="center"/>
    </x:xf>
    <x:xf numFmtId="0" fontId="9" fillId="8" borderId="4" xfId="0" applyNumberFormat="1" applyFont="1" applyFill="1" applyBorder="1" applyAlignment="1">
      <x:alignment vertical="center" wrapText="1"/>
    </x:xf>
    <x:xf numFmtId="0" fontId="9" fillId="8" borderId="5" xfId="0" applyNumberFormat="1" applyFont="1" applyFill="1" applyBorder="1" applyAlignment="1">
      <x:alignment vertical="center" wrapText="1"/>
    </x:xf>
    <x:xf numFmtId="0" fontId="9" fillId="8" borderId="6" xfId="0" applyNumberFormat="1" applyFont="1" applyFill="1" applyBorder="1" applyAlignment="1">
      <x:alignment vertical="center" wrapText="1"/>
    </x:xf>
    <x:xf numFmtId="0" fontId="9" fillId="8" borderId="4" xfId="0" applyNumberFormat="1" applyFont="1" applyFill="1" applyBorder="1" applyAlignment="1">
      <x:alignment horizontal="center" vertical="center" wrapText="1"/>
    </x:xf>
    <x:xf numFmtId="0" fontId="9" fillId="8" borderId="5" xfId="0" applyNumberFormat="1" applyFont="1" applyFill="1" applyBorder="1" applyAlignment="1">
      <x:alignment horizontal="center" vertical="center" wrapText="1"/>
    </x:xf>
    <x:xf numFmtId="0" fontId="9" fillId="8" borderId="6" xfId="0" applyNumberFormat="1" applyFont="1" applyFill="1" applyBorder="1" applyAlignment="1">
      <x:alignment horizontal="center" vertical="center" wrapText="1"/>
    </x:xf>
    <x:xf numFmtId="0" fontId="11" fillId="0" borderId="7" xfId="0" applyNumberFormat="1" applyFont="1" applyFill="1" applyBorder="1" applyAlignment="1">
      <x:alignment vertical="center"/>
    </x:xf>
    <x:xf numFmtId="0" fontId="11" fillId="0" borderId="8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center"/>
    </x:xf>
    <x:xf numFmtId="200" fontId="11" fillId="0" borderId="7" xfId="0" applyNumberFormat="1" applyFont="1" applyFill="1" applyBorder="1" applyAlignment="1">
      <x:alignment vertical="center"/>
    </x:xf>
    <x:xf numFmtId="200" fontId="11" fillId="0" borderId="8" xfId="0" applyNumberFormat="1" applyFont="1" applyFill="1" applyBorder="1" applyAlignment="1">
      <x:alignment vertical="center"/>
    </x:xf>
    <x:xf numFmtId="200" fontId="11" fillId="0" borderId="9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 wrapText="0"/>
    </x:xf>
    <x:xf numFmtId="0" fontId="11" fillId="0" borderId="8" xfId="0" applyNumberFormat="1" applyFont="1" applyFill="1" applyBorder="1" applyAlignment="1">
      <x:alignment vertical="center" wrapText="0"/>
    </x:xf>
    <x:xf numFmtId="0" fontId="11" fillId="0" borderId="9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7">
    <x:dxf>
      <x:fill>
        <x:patternFill>
          <x:bgColor rgb="FFE2F0D9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64748B"/>
      </x:font>
      <x:fill>
        <x:patternFill patternType="solid">
          <x:bgColor rgb="FFF1F5F9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23c8bfe07b491f" /><Relationship Type="http://schemas.openxmlformats.org/officeDocument/2006/relationships/theme" Target="/xl/theme/theme1.xml" Id="R4a62e4aacd0d4bdb" /><Relationship Type="http://schemas.openxmlformats.org/officeDocument/2006/relationships/sharedStrings" Target="/xl/sharedStrings.xml" Id="R67b5897fc8924b87" /><Relationship Type="http://schemas.openxmlformats.org/officeDocument/2006/relationships/worksheet" Target="/xl/worksheets/sheet1.xml" Id="R916540ca3bf04802" /><Relationship Type="http://schemas.openxmlformats.org/officeDocument/2006/relationships/worksheet" Target="/xl/worksheets/sheet2.xml" Id="Re4912d16345d4441" /><Relationship Type="http://schemas.openxmlformats.org/officeDocument/2006/relationships/worksheet" Target="/xl/worksheets/sheet3.xml" Id="Re51e338c4d274b63" /><Relationship Type="http://schemas.openxmlformats.org/officeDocument/2006/relationships/worksheet" Target="/xl/worksheets/sheet4.xml" Id="Rcc63761a35d641af" /><Relationship Type="http://schemas.openxmlformats.org/officeDocument/2006/relationships/worksheet" Target="/xl/worksheets/sheet5.xml" Id="Ra36a991101f94e54" /><Relationship Type="http://schemas.openxmlformats.org/officeDocument/2006/relationships/worksheet" Target="/xl/worksheets/sheet6.xml" Id="R7f63d9d556a54d33" /><Relationship Type="http://schemas.openxmlformats.org/officeDocument/2006/relationships/worksheet" Target="/xl/worksheets/sheet7.xml" Id="Ra0a17b7eb5604162" /><Relationship Type="http://schemas.openxmlformats.org/officeDocument/2006/relationships/worksheet" Target="/xl/worksheets/sheet8.xml" Id="Re896451daf2f406a" /></Relationships>
</file>

<file path=xl/tables/table1.xml><?xml version="1.0" encoding="utf-8"?>
<x:table xmlns:x="http://schemas.openxmlformats.org/spreadsheetml/2006/main" id="1" name="NominaDepurada" displayName="NominaDepurada" ref="A4:U101" headerRowCount="1" totalsRowCount="0" totalsRowShown="0">
  <x:tableColumns count="21">
    <x:tableColumn id="1" name="Nombre normalizado"/>
    <x:tableColumn id="2" name="Estado institucional"/>
    <x:tableColumn id="3" name="Tipo actual/web"/>
    <x:tableColumn id="4" name="Categoría publicada"/>
    <x:tableColumn id="5" name="Laboratorio/grupo web"/>
    <x:tableColumn id="6" name="Subgrupo/línea"/>
    <x:tableColumn id="7" name="Responsable"/>
    <x:tableColumn id="8" name="Área técnica CPA"/>
    <x:tableColumn id="9" name="Descripción funcional"/>
    <x:tableColumn id="10" name="Nombre en planilla original"/>
    <x:tableColumn id="11" name="Sección original"/>
    <x:tableColumn id="12" name="Rol original"/>
    <x:tableColumn id="13" name="Pertenencia original"/>
    <x:tableColumn id="14" name="Categoría original"/>
    <x:tableColumn id="15" name="Laboratorio original"/>
    <x:tableColumn id="16" name="Subgrupo original"/>
    <x:tableColumn id="17" name="Perfil CONICET"/>
    <x:tableColumn id="18" name="Página de grupo"/>
    <x:tableColumn id="19" name="Fuente oficial"/>
    <x:tableColumn id="20" name="Verificado"/>
    <x:tableColumn id="21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integrantesIFIBIO" displayName="ExintegrantesIFIBIO" ref="A3:J30" headerRowCount="1" totalsRowCount="0" totalsRowShown="0">
  <x:tableColumns count="10">
    <x:tableColumn id="1" name="Nombre"/>
    <x:tableColumn id="2" name="Estado"/>
    <x:tableColumn id="3" name="Categoría publicada"/>
    <x:tableColumn id="4" name="Último laboratorio/grupo publicado"/>
    <x:tableColumn id="5" name="Subgrupo/línea"/>
    <x:tableColumn id="6" name="Responsable"/>
    <x:tableColumn id="7" name="Laboratorio original"/>
    <x:tableColumn id="8" name="Fuente oficial"/>
    <x:tableColumn id="9" name="Verificado"/>
    <x:tableColumn id="10" name="Observacion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screpanciasIFIBIO" displayName="DiscrepanciasIFIBIO" ref="A4:G57" headerRowCount="1" totalsRowCount="0" totalsRowShown="0">
  <x:tableColumns count="7">
    <x:tableColumn id="1" name="Nombre"/>
    <x:tableColumn id="2" name="Hallazgo"/>
    <x:tableColumn id="3" name="Estado"/>
    <x:tableColumn id="4" name="Laboratorio original"/>
    <x:tableColumn id="5" name="Laboratorio/grupo web"/>
    <x:tableColumn id="6" name="Fuente"/>
    <x:tableColumn id="7" name="Acción sugerid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osOrganigrama" displayName="DatosOrganigrama" ref="A1:M90" headerRowCount="1" totalsRowCount="0" totalsRowShown="0">
  <x:autoFilter ref="A1:M90"/>
  <x:tableColumns count="13">
    <x:tableColumn id="1" name="Sector"/>
    <x:tableColumn id="2" name="ID de unidad"/>
    <x:tableColumn id="3" name="Unidad"/>
    <x:tableColumn id="4" name="Tipo de unidad"/>
    <x:tableColumn id="5" name="Responsable"/>
    <x:tableColumn id="6" name="Nombre"/>
    <x:tableColumn id="7" name="Estado"/>
    <x:tableColumn id="8" name="Rol / categoría"/>
    <x:tableColumn id="9" name="Subgrupo / línea"/>
    <x:tableColumn id="10" name="Área técnica"/>
    <x:tableColumn id="11" name="Observaciones"/>
    <x:tableColumn id="12" name="Página oficial de la unidad"/>
    <x:tableColumn id="13" name="Fecha de verificac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4266e26a4e7b46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1097baf23e3147b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f35fb70058d24e6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d32bfe2add0c437f" /></Relationships>
</file>

<file path=xl/worksheets/sheet1.xml><?xml version="1.0" encoding="utf-8"?>
<x:worksheet xmlns:x="http://schemas.openxmlformats.org/spreadsheetml/2006/main">
  <x:sheetPr>
    <x:tabColor rgb="FFA5A5A5"/>
  </x:sheetPr>
  <x:sheetViews>
    <x:sheetView showGridLines="1" workbookViewId="0">
      <x:pane ySplit="4" topLeftCell="A5" activePane="bottomLeft" state="frozen"/>
    </x:sheetView>
  </x:sheetViews>
  <x:sheetFormatPr baseColWidth="8" defaultRowHeight="15"/>
  <x:cols>
    <x:col min="1" max="1" width="12" customWidth="1"/>
    <x:col min="2" max="2" width="38" customWidth="1"/>
    <x:col min="3" max="3" width="31" customWidth="1"/>
    <x:col min="4" max="4" width="35" customWidth="1"/>
    <x:col min="5" max="5" width="20" customWidth="1"/>
    <x:col min="6" max="6" width="34" customWidth="1"/>
    <x:col min="7" max="7" width="49" customWidth="1"/>
    <x:col min="8" max="8" width="50" customWidth="1"/>
  </x:cols>
  <x:sheetData>
    <x:row r="1">
      <x:c r="A1" s="1" t="inlineStr">
        <x:is>
          <x:t xml:space="preserve">INSTITUTO DE FISIOLOGIA Y BIOFISICA BERNARDO HOUSSAY (IFIBIO HOUSSAY)</x:t>
        </x:is>
      </x:c>
    </x:row>
    <x:row r="2">
      <x:c r="A2" s="2" t="inlineStr">
        <x:is>
          <x:t xml:space="preserve">Nómina Enriquecida con Laboratorios y Grupos de Investigación (Memoria UE + Sitio Web Oficial)</x:t>
        </x:is>
      </x:c>
    </x:row>
    <x:row r="3"/>
    <x:row r="4">
      <x:c r="A4" s="3" t="inlineStr">
        <x:is>
          <x:t xml:space="preserve">#</x:t>
        </x:is>
      </x:c>
      <x:c r="B4" s="4" t="inlineStr">
        <x:is>
          <x:t xml:space="preserve">Apellido y Nombre</x:t>
        </x:is>
      </x:c>
      <x:c r="C4" s="4" t="inlineStr">
        <x:is>
          <x:t xml:space="preserve">Grupo / Sección Memoria</x:t>
        </x:is>
      </x:c>
      <x:c r="D4" s="4" t="inlineStr">
        <x:is>
          <x:t xml:space="preserve">Rol / Función</x:t>
        </x:is>
      </x:c>
      <x:c r="E4" s="3" t="inlineStr">
        <x:is>
          <x:t xml:space="preserve">Pertenencia</x:t>
        </x:is>
      </x:c>
      <x:c r="F4" s="4" t="inlineStr">
        <x:is>
          <x:t xml:space="preserve">Categoría / Cargo</x:t>
        </x:is>
      </x:c>
      <x:c r="G4" s="4" t="inlineStr">
        <x:is>
          <x:t xml:space="preserve">Laboratorio / Grupo Principal (Web)</x:t>
        </x:is>
      </x:c>
      <x:c r="H4" s="4" t="inlineStr">
        <x:is>
          <x:t xml:space="preserve">Línea Temática / Subgrupo</x:t>
        </x:is>
      </x:c>
    </x:row>
    <x:row r="5">
      <x:c r="A5" s="5" t="n">
        <x:v>1</x:v>
      </x:c>
      <x:c r="B5" s="6" t="inlineStr">
        <x:is>
          <x:t xml:space="preserve">MURER, MARIO GUSTAVO</x:t>
        </x:is>
      </x:c>
      <x:c r="C5" s="6" t="inlineStr">
        <x:is>
          <x:t xml:space="preserve">Director / Vicedirector</x:t>
        </x:is>
      </x:c>
      <x:c r="D5" s="6" t="inlineStr">
        <x:is>
          <x:t xml:space="preserve">Director</x:t>
        </x:is>
      </x:c>
      <x:c r="E5" s="5" t="inlineStr">
        <x:is>
          <x:t xml:space="preserve">CONICET</x:t>
        </x:is>
      </x:c>
      <x:c r="F5" s="6" t="inlineStr">
        <x:is>
          <x:t xml:space="preserve">INV SUPERIOR</x:t>
        </x:is>
      </x:c>
      <x:c r="G5" s="6" t="inlineStr">
        <x:is>
          <x:t xml:space="preserve">Grupo de Neurociencia de Sistemas</x:t>
        </x:is>
      </x:c>
      <x:c r="H5" s="6" t="inlineStr">
        <x:is>
          <x:t xml:space="preserve">Fisiología de Circuitos Neuronales</x:t>
        </x:is>
      </x:c>
    </x:row>
    <x:row r="6">
      <x:c r="A6" s="7" t="n">
        <x:v>2</x:v>
      </x:c>
      <x:c r="B6" s="8" t="inlineStr">
        <x:is>
          <x:t xml:space="preserve">BELFORTE, JUAN EMILIO</x:t>
        </x:is>
      </x:c>
      <x:c r="C6" s="8" t="inlineStr">
        <x:is>
          <x:t xml:space="preserve">Director / Vicedirector</x:t>
        </x:is>
      </x:c>
      <x:c r="D6" s="8" t="inlineStr">
        <x:is>
          <x:t xml:space="preserve">Vicedirector</x:t>
        </x:is>
      </x:c>
      <x:c r="E6" s="7" t="inlineStr">
        <x:is>
          <x:t xml:space="preserve">CONICET</x:t>
        </x:is>
      </x:c>
      <x:c r="F6" s="8" t="inlineStr">
        <x:is>
          <x:t xml:space="preserve">INV INDEPENDIENTE</x:t>
        </x:is>
      </x:c>
      <x:c r="G6" s="8" t="inlineStr">
        <x:is>
          <x:t xml:space="preserve">Grupo de Neurociencia de Sistemas</x:t>
        </x:is>
      </x:c>
      <x:c r="H6" s="8" t="inlineStr">
        <x:is>
          <x:t xml:space="preserve">Fisiología de la Conducta Animal</x:t>
        </x:is>
      </x:c>
    </x:row>
    <x:row r="7">
      <x:c r="A7" s="5" t="n">
        <x:v>3</x:v>
      </x:c>
      <x:c r="B7" s="6" t="inlineStr">
        <x:is>
          <x:t xml:space="preserve">RIVAROLA, VALERIA</x:t>
        </x:is>
      </x:c>
      <x:c r="C7" s="6" t="inlineStr">
        <x:is>
          <x:t xml:space="preserve">Consejo Directivo</x:t>
        </x:is>
      </x:c>
      <x:c r="D7" s="6" t="inlineStr">
        <x:is>
          <x:t xml:space="preserve">Representante Investigador</x:t>
        </x:is>
      </x:c>
      <x:c r="E7" s="5" t="inlineStr">
        <x:is>
          <x:t xml:space="preserve">CONICET</x:t>
        </x:is>
      </x:c>
      <x:c r="F7" s="6" t="inlineStr">
        <x:is>
          <x:t xml:space="preserve">INV ADJUNTO</x:t>
        </x:is>
      </x:c>
      <x:c r="G7" s="6" t="inlineStr">
        <x:is>
          <x:t xml:space="preserve">Laboratorio de Biomembranas</x:t>
        </x:is>
      </x:c>
      <x:c r="H7" s="6" t="inlineStr">
        <x:is>
          <x:t xml:space="preserve">Trastornos del Equilibrio Ácido Base</x:t>
        </x:is>
      </x:c>
    </x:row>
    <x:row r="8">
      <x:c r="A8" s="7" t="n">
        <x:v>4</x:v>
      </x:c>
      <x:c r="B8" s="8" t="inlineStr">
        <x:is>
          <x:t xml:space="preserve">DI GIUSTO, GISELA</x:t>
        </x:is>
      </x:c>
      <x:c r="C8" s="8" t="inlineStr">
        <x:is>
          <x:t xml:space="preserve">Consejo Directivo</x:t>
        </x:is>
      </x:c>
      <x:c r="D8" s="8" t="inlineStr">
        <x:is>
          <x:t xml:space="preserve">Representante Investigador</x:t>
        </x:is>
      </x:c>
      <x:c r="E8" s="7" t="inlineStr">
        <x:is>
          <x:t xml:space="preserve">CONICET</x:t>
        </x:is>
      </x:c>
      <x:c r="F8" s="8" t="inlineStr">
        <x:is>
          <x:t xml:space="preserve">INV ADJUNTO</x:t>
        </x:is>
      </x:c>
      <x:c r="G8" s="8" t="inlineStr">
        <x:is>
          <x:t xml:space="preserve">Laboratorio de Biomembranas</x:t>
        </x:is>
      </x:c>
      <x:c r="H8" s="8" t="inlineStr">
        <x:is>
          <x:t xml:space="preserve">Migración Celular</x:t>
        </x:is>
      </x:c>
    </x:row>
    <x:row r="9">
      <x:c r="A9" s="5" t="n">
        <x:v>5</x:v>
      </x:c>
      <x:c r="B9" s="6" t="inlineStr">
        <x:is>
          <x:t xml:space="preserve">BELTRAMONE, NATALIA</x:t>
        </x:is>
      </x:c>
      <x:c r="C9" s="6" t="inlineStr">
        <x:is>
          <x:t xml:space="preserve">Consejo Directivo</x:t>
        </x:is>
      </x:c>
      <x:c r="D9" s="6" t="inlineStr">
        <x:is>
          <x:t xml:space="preserve">Representante Personal de Apoyo</x:t>
        </x:is>
      </x:c>
      <x:c r="E9" s="5" t="inlineStr">
        <x:is>
          <x:t xml:space="preserve">CONICET</x:t>
        </x:is>
      </x:c>
      <x:c r="F9" s="6" t="inlineStr">
        <x:is>
          <x:t xml:space="preserve">TECNICO PRINCIPAL</x:t>
        </x:is>
      </x:c>
      <x:c r="G9" s="6" t="inlineStr">
        <x:is>
          <x:t xml:space="preserve">Personal de Apoyo (CPA)</x:t>
        </x:is>
      </x:c>
      <x:c r="H9" s="6" t="inlineStr">
        <x:is>
          <x:t xml:space="preserve">Técnico Principal</x:t>
        </x:is>
      </x:c>
    </x:row>
    <x:row r="10">
      <x:c r="A10" s="7" t="n">
        <x:v>6</x:v>
      </x:c>
      <x:c r="B10" s="8" t="inlineStr">
        <x:is>
          <x:t xml:space="preserve">PAGANI, MARIO RAFAEL</x:t>
        </x:is>
      </x:c>
      <x:c r="C10" s="8" t="inlineStr">
        <x:is>
          <x:t xml:space="preserve">Consejo Directivo</x:t>
        </x:is>
      </x:c>
      <x:c r="D10" s="8" t="inlineStr">
        <x:is>
          <x:t xml:space="preserve">Representante Investigador</x:t>
        </x:is>
      </x:c>
      <x:c r="E10" s="7" t="inlineStr">
        <x:is>
          <x:t xml:space="preserve">CONICET</x:t>
        </x:is>
      </x:c>
      <x:c r="F10" s="8" t="inlineStr">
        <x:is>
          <x:t xml:space="preserve">INV INDEPENDIENTE</x:t>
        </x:is>
      </x:c>
      <x:c r="G10" s="8" t="inlineStr">
        <x:is>
          <x:t xml:space="preserve">Grupo de Neurociencia de Sistemas</x:t>
        </x:is>
      </x:c>
      <x:c r="H10" s="8" t="inlineStr">
        <x:is>
          <x:t xml:space="preserve">Genética del Aprendizaje</x:t>
        </x:is>
      </x:c>
    </x:row>
    <x:row r="11">
      <x:c r="A11" s="5" t="n">
        <x:v>7</x:v>
      </x:c>
      <x:c r="B11" s="6" t="inlineStr">
        <x:is>
          <x:t xml:space="preserve">KASANETZ, FERNANDO</x:t>
        </x:is>
      </x:c>
      <x:c r="C11" s="6" t="inlineStr">
        <x:is>
          <x:t xml:space="preserve">Consejo Directivo</x:t>
        </x:is>
      </x:c>
      <x:c r="D11" s="6" t="inlineStr">
        <x:is>
          <x:t xml:space="preserve">Representante Investigador</x:t>
        </x:is>
      </x:c>
      <x:c r="E11" s="5" t="inlineStr">
        <x:is>
          <x:t xml:space="preserve">CONICET</x:t>
        </x:is>
      </x:c>
      <x:c r="F11" s="6" t="inlineStr">
        <x:is>
          <x:t xml:space="preserve">INV ADJUNTO</x:t>
        </x:is>
      </x:c>
      <x:c r="G11" s="6" t="inlineStr">
        <x:is>
          <x:t xml:space="preserve">Grupo de Neurociencia de Sistemas</x:t>
        </x:is>
      </x:c>
      <x:c r="H11" s="6" t="inlineStr">
        <x:is>
          <x:t xml:space="preserve">Fisiología del Dolor</x:t>
        </x:is>
      </x:c>
    </x:row>
    <x:row r="12">
      <x:c r="A12" s="7" t="n">
        <x:v>8</x:v>
      </x:c>
      <x:c r="B12" s="8" t="inlineStr">
        <x:is>
          <x:t xml:space="preserve">MURER, MARIO GUSTAVO</x:t>
        </x:is>
      </x:c>
      <x:c r="C12" s="8" t="inlineStr">
        <x:is>
          <x:t xml:space="preserve">Investigadores CONICET</x:t>
        </x:is>
      </x:c>
      <x:c r="D12" s="8" t="inlineStr">
        <x:is>
          <x:t xml:space="preserve">Investigador</x:t>
        </x:is>
      </x:c>
      <x:c r="E12" s="7" t="inlineStr">
        <x:is>
          <x:t xml:space="preserve">CONICET</x:t>
        </x:is>
      </x:c>
      <x:c r="F12" s="8" t="inlineStr">
        <x:is>
          <x:t xml:space="preserve">INV SUPERIOR</x:t>
        </x:is>
      </x:c>
      <x:c r="G12" s="8" t="inlineStr">
        <x:is>
          <x:t xml:space="preserve">Grupo de Neurociencia de Sistemas</x:t>
        </x:is>
      </x:c>
      <x:c r="H12" s="8" t="inlineStr">
        <x:is>
          <x:t xml:space="preserve">Fisiología de Circuitos Neuronales</x:t>
        </x:is>
      </x:c>
    </x:row>
    <x:row r="13">
      <x:c r="A13" s="5" t="n">
        <x:v>9</x:v>
      </x:c>
      <x:c r="B13" s="6" t="inlineStr">
        <x:is>
          <x:t xml:space="preserve">BERNABEU, RAMON OSCAR</x:t>
        </x:is>
      </x:c>
      <x:c r="C13" s="6" t="inlineStr">
        <x:is>
          <x:t xml:space="preserve">Investigadores CONICET</x:t>
        </x:is>
      </x:c>
      <x:c r="D13" s="6" t="inlineStr">
        <x:is>
          <x:t xml:space="preserve">Investigador</x:t>
        </x:is>
      </x:c>
      <x:c r="E13" s="5" t="inlineStr">
        <x:is>
          <x:t xml:space="preserve">CONICET</x:t>
        </x:is>
      </x:c>
      <x:c r="F13" s="6" t="inlineStr">
        <x:is>
          <x:t xml:space="preserve">INV PRINCIPAL</x:t>
        </x:is>
      </x:c>
      <x:c r="G13" s="6" t="inlineStr">
        <x:is>
          <x:t xml:space="preserve">Grupo de Pez Cebra</x:t>
        </x:is>
      </x:c>
      <x:c r="H13" s="6" t="inlineStr">
        <x:is>
          <x:t xml:space="preserve">Neurobiología de las Adicciones</x:t>
        </x:is>
      </x:c>
    </x:row>
    <x:row r="14">
      <x:c r="A14" s="7" t="n">
        <x:v>10</x:v>
      </x:c>
      <x:c r="B14" s="8" t="inlineStr">
        <x:is>
          <x:t xml:space="preserve">CAPURRO, CLAUDIA GRACIELA</x:t>
        </x:is>
      </x:c>
      <x:c r="C14" s="8" t="inlineStr">
        <x:is>
          <x:t xml:space="preserve">Investigadores CONICET</x:t>
        </x:is>
      </x:c>
      <x:c r="D14" s="8" t="inlineStr">
        <x:is>
          <x:t xml:space="preserve">Investigador</x:t>
        </x:is>
      </x:c>
      <x:c r="E14" s="7" t="inlineStr">
        <x:is>
          <x:t xml:space="preserve">CONICET</x:t>
        </x:is>
      </x:c>
      <x:c r="F14" s="8" t="inlineStr">
        <x:is>
          <x:t xml:space="preserve">INV PRINCIPAL</x:t>
        </x:is>
      </x:c>
      <x:c r="G14" s="8" t="inlineStr">
        <x:is>
          <x:t xml:space="preserve">Laboratorio de Biomembranas</x:t>
        </x:is>
      </x:c>
      <x:c r="H14" s="8" t="inlineStr">
        <x:is>
          <x:t xml:space="preserve">Fisiología y Fisiopatología de las Acuaporinas</x:t>
        </x:is>
      </x:c>
    </x:row>
    <x:row r="15">
      <x:c r="A15" s="5" t="n">
        <x:v>11</x:v>
      </x:c>
      <x:c r="B15" s="6" t="inlineStr">
        <x:is>
          <x:t xml:space="preserve">DAMIANO, ALICIA ERMELINDA</x:t>
        </x:is>
      </x:c>
      <x:c r="C15" s="6" t="inlineStr">
        <x:is>
          <x:t xml:space="preserve">Investigadores CONICET</x:t>
        </x:is>
      </x:c>
      <x:c r="D15" s="6" t="inlineStr">
        <x:is>
          <x:t xml:space="preserve">Investigador</x:t>
        </x:is>
      </x:c>
      <x:c r="E15" s="5" t="inlineStr">
        <x:is>
          <x:t xml:space="preserve">CONICET</x:t>
        </x:is>
      </x:c>
      <x:c r="F15" s="6" t="inlineStr">
        <x:is>
          <x:t xml:space="preserve">INV PRINCIPAL</x:t>
        </x:is>
      </x:c>
      <x:c r="G15" s="6" t="inlineStr">
        <x:is>
          <x:t xml:space="preserve">Laboratorio de Biología de la Reproducción</x:t>
        </x:is>
      </x:c>
      <x:c r="H15" s="6" t="inlineStr">
        <x:is>
          <x:t xml:space="preserve">Biología de la Reproducción</x:t>
        </x:is>
      </x:c>
    </x:row>
    <x:row r="16">
      <x:c r="A16" s="7" t="n">
        <x:v>12</x:v>
      </x:c>
      <x:c r="B16" s="8" t="inlineStr">
        <x:is>
          <x:t xml:space="preserve">AMARAL, MARÍA MARTA</x:t>
        </x:is>
      </x:c>
      <x:c r="C16" s="8" t="inlineStr">
        <x:is>
          <x:t xml:space="preserve">Investigadores CONICET</x:t>
        </x:is>
      </x:c>
      <x:c r="D16" s="8" t="inlineStr">
        <x:is>
          <x:t xml:space="preserve">Investigador</x:t>
        </x:is>
      </x:c>
      <x:c r="E16" s="7" t="inlineStr">
        <x:is>
          <x:t xml:space="preserve">CONICET</x:t>
        </x:is>
      </x:c>
      <x:c r="F16" s="8" t="inlineStr">
        <x:is>
          <x:t xml:space="preserve">INV INDEPENDIENTE</x:t>
        </x:is>
      </x:c>
      <x:c r="G16" s="8" t="inlineStr">
        <x:is>
          <x:t xml:space="preserve">Laboratorio de Fisiopatogenia</x:t>
        </x:is>
      </x:c>
      <x:c r="H16" s="8" t="inlineStr">
        <x:is>
          <x:t xml:space="preserve">Mecanismos del SUH y Toxina Shiga</x:t>
        </x:is>
      </x:c>
    </x:row>
    <x:row r="17">
      <x:c r="A17" s="5" t="n">
        <x:v>13</x:v>
      </x:c>
      <x:c r="B17" s="6" t="inlineStr">
        <x:is>
          <x:t xml:space="preserve">BELFORTE, JUAN EMILIO</x:t>
        </x:is>
      </x:c>
      <x:c r="C17" s="6" t="inlineStr">
        <x:is>
          <x:t xml:space="preserve">Investigadores CONICET</x:t>
        </x:is>
      </x:c>
      <x:c r="D17" s="6" t="inlineStr">
        <x:is>
          <x:t xml:space="preserve">Investigador</x:t>
        </x:is>
      </x:c>
      <x:c r="E17" s="5" t="inlineStr">
        <x:is>
          <x:t xml:space="preserve">CONICET</x:t>
        </x:is>
      </x:c>
      <x:c r="F17" s="6" t="inlineStr">
        <x:is>
          <x:t xml:space="preserve">INV INDEPENDIENTE</x:t>
        </x:is>
      </x:c>
      <x:c r="G17" s="6" t="inlineStr">
        <x:is>
          <x:t xml:space="preserve">Grupo de Neurociencia de Sistemas</x:t>
        </x:is>
      </x:c>
      <x:c r="H17" s="6" t="inlineStr">
        <x:is>
          <x:t xml:space="preserve">Fisiología de la Conducta Animal</x:t>
        </x:is>
      </x:c>
    </x:row>
    <x:row r="18">
      <x:c r="A18" s="7" t="n">
        <x:v>14</x:v>
      </x:c>
      <x:c r="B18" s="8" t="inlineStr">
        <x:is>
          <x:t xml:space="preserve">FAILLACE, MARIA PAULA</x:t>
        </x:is>
      </x:c>
      <x:c r="C18" s="8" t="inlineStr">
        <x:is>
          <x:t xml:space="preserve">Investigadores CONICET</x:t>
        </x:is>
      </x:c>
      <x:c r="D18" s="8" t="inlineStr">
        <x:is>
          <x:t xml:space="preserve">Investigador</x:t>
        </x:is>
      </x:c>
      <x:c r="E18" s="7" t="inlineStr">
        <x:is>
          <x:t xml:space="preserve">CONICET</x:t>
        </x:is>
      </x:c>
      <x:c r="F18" s="8" t="inlineStr">
        <x:is>
          <x:t xml:space="preserve">INV INDEPENDIENTE</x:t>
        </x:is>
      </x:c>
      <x:c r="G18" s="8" t="inlineStr">
        <x:is>
          <x:t xml:space="preserve">Grupo de Pez Cebra</x:t>
        </x:is>
      </x:c>
      <x:c r="H18" s="8" t="inlineStr">
        <x:is>
          <x:t xml:space="preserve">Neurobiología de la Retina</x:t>
        </x:is>
      </x:c>
    </x:row>
    <x:row r="19">
      <x:c r="A19" s="5" t="n">
        <x:v>15</x:v>
      </x:c>
      <x:c r="B19" s="6" t="inlineStr">
        <x:is>
          <x:t xml:space="preserve">FORD, PAULA</x:t>
        </x:is>
      </x:c>
      <x:c r="C19" s="6" t="inlineStr">
        <x:is>
          <x:t xml:space="preserve">Investigadores CONICET</x:t>
        </x:is>
      </x:c>
      <x:c r="D19" s="6" t="inlineStr">
        <x:is>
          <x:t xml:space="preserve">Investigador</x:t>
        </x:is>
      </x:c>
      <x:c r="E19" s="5" t="inlineStr">
        <x:is>
          <x:t xml:space="preserve">CONICET</x:t>
        </x:is>
      </x:c>
      <x:c r="F19" s="6" t="inlineStr">
        <x:is>
          <x:t xml:space="preserve">INV INDEPENDIENTE</x:t>
        </x:is>
      </x:c>
      <x:c r="G19" s="6" t="inlineStr">
        <x:is>
          <x:t xml:space="preserve">Laboratorio de Biomembranas</x:t>
        </x:is>
      </x:c>
      <x:c r="H19" s="6" t="inlineStr">
        <x:is>
          <x:t xml:space="preserve">Biofísica de Aquaporinas</x:t>
        </x:is>
      </x:c>
    </x:row>
    <x:row r="20">
      <x:c r="A20" s="7" t="n">
        <x:v>16</x:v>
      </x:c>
      <x:c r="B20" s="8" t="inlineStr">
        <x:is>
          <x:t xml:space="preserve">GOLDSTEIN RAIJ, JORGE</x:t>
        </x:is>
      </x:c>
      <x:c r="C20" s="8" t="inlineStr">
        <x:is>
          <x:t xml:space="preserve">Investigadores CONICET</x:t>
        </x:is>
      </x:c>
      <x:c r="D20" s="8" t="inlineStr">
        <x:is>
          <x:t xml:space="preserve">Investigador</x:t>
        </x:is>
      </x:c>
      <x:c r="E20" s="7" t="inlineStr">
        <x:is>
          <x:t xml:space="preserve">CONICET</x:t>
        </x:is>
      </x:c>
      <x:c r="F20" s="8" t="inlineStr">
        <x:is>
          <x:t xml:space="preserve">INV INDEPENDIENTE</x:t>
        </x:is>
      </x:c>
      <x:c r="G20" s="8" t="inlineStr">
        <x:is>
          <x:t xml:space="preserve">Laboratorio de Neurofisiopatología</x:t>
        </x:is>
      </x:c>
      <x:c r="H20" s="8" t="inlineStr">
        <x:is>
          <x:t xml:space="preserve">Neurofisiopatología</x:t>
        </x:is>
      </x:c>
    </x:row>
    <x:row r="21">
      <x:c r="A21" s="5" t="n">
        <x:v>17</x:v>
      </x:c>
      <x:c r="B21" s="6" t="inlineStr">
        <x:is>
          <x:t xml:space="preserve">MÜLLER IGAZ, LIONEL IVAN</x:t>
        </x:is>
      </x:c>
      <x:c r="C21" s="6" t="inlineStr">
        <x:is>
          <x:t xml:space="preserve">Investigadores CONICET</x:t>
        </x:is>
      </x:c>
      <x:c r="D21" s="6" t="inlineStr">
        <x:is>
          <x:t xml:space="preserve">Investigador</x:t>
        </x:is>
      </x:c>
      <x:c r="E21" s="5" t="inlineStr">
        <x:is>
          <x:t xml:space="preserve">CONICET</x:t>
        </x:is>
      </x:c>
      <x:c r="F21" s="6" t="inlineStr">
        <x:is>
          <x:t xml:space="preserve">INV INDEPENDIENTE</x:t>
        </x:is>
      </x:c>
      <x:c r="G21" s="6" t="inlineStr">
        <x:is>
          <x:t xml:space="preserve">Grupo de Neurociencia de Sistemas</x:t>
        </x:is>
      </x:c>
      <x:c r="H21" s="6" t="inlineStr">
        <x:is>
          <x:t xml:space="preserve">Fisiopatología Neuronal</x:t>
        </x:is>
      </x:c>
    </x:row>
    <x:row r="22">
      <x:c r="A22" s="7" t="n">
        <x:v>18</x:v>
      </x:c>
      <x:c r="B22" s="8" t="inlineStr">
        <x:is>
          <x:t xml:space="preserve">PAGANI, MARIO RAFAEL</x:t>
        </x:is>
      </x:c>
      <x:c r="C22" s="8" t="inlineStr">
        <x:is>
          <x:t xml:space="preserve">Investigadores CONICET</x:t>
        </x:is>
      </x:c>
      <x:c r="D22" s="8" t="inlineStr">
        <x:is>
          <x:t xml:space="preserve">Investigador</x:t>
        </x:is>
      </x:c>
      <x:c r="E22" s="7" t="inlineStr">
        <x:is>
          <x:t xml:space="preserve">CONICET</x:t>
        </x:is>
      </x:c>
      <x:c r="F22" s="8" t="inlineStr">
        <x:is>
          <x:t xml:space="preserve">INV INDEPENDIENTE</x:t>
        </x:is>
      </x:c>
      <x:c r="G22" s="8" t="inlineStr">
        <x:is>
          <x:t xml:space="preserve">Grupo de Neurociencia de Sistemas</x:t>
        </x:is>
      </x:c>
      <x:c r="H22" s="8" t="inlineStr">
        <x:is>
          <x:t xml:space="preserve">Genética del Aprendizaje</x:t>
        </x:is>
      </x:c>
    </x:row>
    <x:row r="23">
      <x:c r="A23" s="5" t="n">
        <x:v>19</x:v>
      </x:c>
      <x:c r="B23" s="6" t="inlineStr">
        <x:is>
          <x:t xml:space="preserve">RELA, LORENA</x:t>
        </x:is>
      </x:c>
      <x:c r="C23" s="6" t="inlineStr">
        <x:is>
          <x:t xml:space="preserve">Investigadores CONICET</x:t>
        </x:is>
      </x:c>
      <x:c r="D23" s="6" t="inlineStr">
        <x:is>
          <x:t xml:space="preserve">Investigador</x:t>
        </x:is>
      </x:c>
      <x:c r="E23" s="5" t="inlineStr">
        <x:is>
          <x:t xml:space="preserve">CONICET</x:t>
        </x:is>
      </x:c>
      <x:c r="F23" s="6" t="inlineStr">
        <x:is>
          <x:t xml:space="preserve">INV INDEPENDIENTE</x:t>
        </x:is>
      </x:c>
      <x:c r="G23" s="6" t="inlineStr">
        <x:is>
          <x:t xml:space="preserve">Grupo de Neurociencia de Sistemas</x:t>
        </x:is>
      </x:c>
      <x:c r="H23" s="6" t="inlineStr">
        <x:is>
          <x:t xml:space="preserve">Formación de Redes Neurales</x:t>
        </x:is>
      </x:c>
    </x:row>
    <x:row r="24">
      <x:c r="A24" s="7" t="n">
        <x:v>20</x:v>
      </x:c>
      <x:c r="B24" s="8" t="inlineStr">
        <x:is>
          <x:t xml:space="preserve">BELLO GAY, ESTEFANIA PILAR</x:t>
        </x:is>
      </x:c>
      <x:c r="C24" s="8" t="inlineStr">
        <x:is>
          <x:t xml:space="preserve">Investigadores CONICET</x:t>
        </x:is>
      </x:c>
      <x:c r="D24" s="8" t="inlineStr">
        <x:is>
          <x:t xml:space="preserve">Investigador</x:t>
        </x:is>
      </x:c>
      <x:c r="E24" s="7" t="inlineStr">
        <x:is>
          <x:t xml:space="preserve">CONICET</x:t>
        </x:is>
      </x:c>
      <x:c r="F24" s="8" t="inlineStr">
        <x:is>
          <x:t xml:space="preserve">INV ADJUNTO</x:t>
        </x:is>
      </x:c>
      <x:c r="G24" s="8" t="inlineStr">
        <x:is>
          <x:t xml:space="preserve">Grupo de Neurociencia de Sistemas</x:t>
        </x:is>
      </x:c>
      <x:c r="H24" s="8" t="inlineStr">
        <x:is>
          <x:t xml:space="preserve">Neurofisiología de la Motivación</x:t>
        </x:is>
      </x:c>
    </x:row>
    <x:row r="25">
      <x:c r="A25" s="5" t="n">
        <x:v>21</x:v>
      </x:c>
      <x:c r="B25" s="6" t="inlineStr">
        <x:is>
          <x:t xml:space="preserve">BLAKE, MARIANO GUILLERMO</x:t>
        </x:is>
      </x:c>
      <x:c r="C25" s="6" t="inlineStr">
        <x:is>
          <x:t xml:space="preserve">Investigadores CONICET</x:t>
        </x:is>
      </x:c>
      <x:c r="D25" s="6" t="inlineStr">
        <x:is>
          <x:t xml:space="preserve">Investigador</x:t>
        </x:is>
      </x:c>
      <x:c r="E25" s="5" t="inlineStr">
        <x:is>
          <x:t xml:space="preserve">CONICET</x:t>
        </x:is>
      </x:c>
      <x:c r="F25" s="6" t="inlineStr">
        <x:is>
          <x:t xml:space="preserve">INV ADJUNTO</x:t>
        </x:is>
      </x:c>
      <x:c r="G25" s="6" t="inlineStr">
        <x:is>
          <x:t xml:space="preserve">Laboratorio Neuropsicología de la Performance</x:t>
        </x:is>
      </x:c>
      <x:c r="H25" s="6" t="inlineStr">
        <x:is>
          <x:t xml:space="preserve">Neuropsicología de la Performance</x:t>
        </x:is>
      </x:c>
    </x:row>
    <x:row r="26">
      <x:c r="A26" s="7" t="n">
        <x:v>22</x:v>
      </x:c>
      <x:c r="B26" s="8" t="inlineStr">
        <x:is>
          <x:t xml:space="preserve">BUMASCHNY, VIVIANA FLORENCIA</x:t>
        </x:is>
      </x:c>
      <x:c r="C26" s="8" t="inlineStr">
        <x:is>
          <x:t xml:space="preserve">Investigadores CONICET</x:t>
        </x:is>
      </x:c>
      <x:c r="D26" s="8" t="inlineStr">
        <x:is>
          <x:t xml:space="preserve">Investigador</x:t>
        </x:is>
      </x:c>
      <x:c r="E26" s="7" t="inlineStr">
        <x:is>
          <x:t xml:space="preserve">CONICET</x:t>
        </x:is>
      </x:c>
      <x:c r="F26" s="8" t="inlineStr">
        <x:is>
          <x:t xml:space="preserve">INV ADJUNTO</x:t>
        </x:is>
      </x:c>
      <x:c r="G26" s="8" t="inlineStr">
        <x:is>
          <x:t xml:space="preserve">Grupo de Neurociencia de Sistemas</x:t>
        </x:is>
      </x:c>
      <x:c r="H26" s="8" t="inlineStr">
        <x:is>
          <x:t xml:space="preserve">Neuroendocrinología Molecular</x:t>
        </x:is>
      </x:c>
    </x:row>
    <x:row r="27">
      <x:c r="A27" s="5" t="n">
        <x:v>23</x:v>
      </x:c>
      <x:c r="B27" s="6" t="inlineStr">
        <x:is>
          <x:t xml:space="preserve">DI GIUSTO, GISELA</x:t>
        </x:is>
      </x:c>
      <x:c r="C27" s="6" t="inlineStr">
        <x:is>
          <x:t xml:space="preserve">Investigadores CONICET</x:t>
        </x:is>
      </x:c>
      <x:c r="D27" s="6" t="inlineStr">
        <x:is>
          <x:t xml:space="preserve">Investigador</x:t>
        </x:is>
      </x:c>
      <x:c r="E27" s="5" t="inlineStr">
        <x:is>
          <x:t xml:space="preserve">CONICET</x:t>
        </x:is>
      </x:c>
      <x:c r="F27" s="6" t="inlineStr">
        <x:is>
          <x:t xml:space="preserve">INV ADJUNTO</x:t>
        </x:is>
      </x:c>
      <x:c r="G27" s="6" t="inlineStr">
        <x:is>
          <x:t xml:space="preserve">Laboratorio de Biomembranas</x:t>
        </x:is>
      </x:c>
      <x:c r="H27" s="6" t="inlineStr">
        <x:is>
          <x:t xml:space="preserve">Migración Celular</x:t>
        </x:is>
      </x:c>
    </x:row>
    <x:row r="28">
      <x:c r="A28" s="7" t="n">
        <x:v>24</x:v>
      </x:c>
      <x:c r="B28" s="8" t="inlineStr">
        <x:is>
          <x:t xml:space="preserve">KASANETZ, FERNANDO</x:t>
        </x:is>
      </x:c>
      <x:c r="C28" s="8" t="inlineStr">
        <x:is>
          <x:t xml:space="preserve">Investigadores CONICET</x:t>
        </x:is>
      </x:c>
      <x:c r="D28" s="8" t="inlineStr">
        <x:is>
          <x:t xml:space="preserve">Investigador</x:t>
        </x:is>
      </x:c>
      <x:c r="E28" s="7" t="inlineStr">
        <x:is>
          <x:t xml:space="preserve">CONICET</x:t>
        </x:is>
      </x:c>
      <x:c r="F28" s="8" t="inlineStr">
        <x:is>
          <x:t xml:space="preserve">INV ADJUNTO</x:t>
        </x:is>
      </x:c>
      <x:c r="G28" s="8" t="inlineStr">
        <x:is>
          <x:t xml:space="preserve">Grupo de Neurociencia de Sistemas</x:t>
        </x:is>
      </x:c>
      <x:c r="H28" s="8" t="inlineStr">
        <x:is>
          <x:t xml:space="preserve">Fisiología del Dolor</x:t>
        </x:is>
      </x:c>
    </x:row>
    <x:row r="29">
      <x:c r="A29" s="5" t="n">
        <x:v>25</x:v>
      </x:c>
      <x:c r="B29" s="6" t="inlineStr">
        <x:is>
          <x:t xml:space="preserve">KATZ, MAXIMILIANO JAVIER</x:t>
        </x:is>
      </x:c>
      <x:c r="C29" s="6" t="inlineStr">
        <x:is>
          <x:t xml:space="preserve">Investigadores CONICET</x:t>
        </x:is>
      </x:c>
      <x:c r="D29" s="6" t="inlineStr">
        <x:is>
          <x:t xml:space="preserve">Investigador</x:t>
        </x:is>
      </x:c>
      <x:c r="E29" s="5" t="inlineStr">
        <x:is>
          <x:t xml:space="preserve">CONICET</x:t>
        </x:is>
      </x:c>
      <x:c r="F29" s="6" t="inlineStr">
        <x:is>
          <x:t xml:space="preserve">INV ADJUNTO</x:t>
        </x:is>
      </x:c>
      <x:c r="G29" s="6" t="inlineStr">
        <x:is>
          <x:t xml:space="preserve">Grupo de Neurociencia de Sistemas</x:t>
        </x:is>
      </x:c>
      <x:c r="H29" s="6" t="inlineStr">
        <x:is>
          <x:t xml:space="preserve">Genética de la Comunicación entre Órganos</x:t>
        </x:is>
      </x:c>
    </x:row>
    <x:row r="30">
      <x:c r="A30" s="7" t="n">
        <x:v>26</x:v>
      </x:c>
      <x:c r="B30" s="8" t="inlineStr">
        <x:is>
          <x:t xml:space="preserve">MARQUES DA SILVA, WANDERSON</x:t>
        </x:is>
      </x:c>
      <x:c r="C30" s="8" t="inlineStr">
        <x:is>
          <x:t xml:space="preserve">Investigadores CONICET</x:t>
        </x:is>
      </x:c>
      <x:c r="D30" s="8" t="inlineStr">
        <x:is>
          <x:t xml:space="preserve">Investigador</x:t>
        </x:is>
      </x:c>
      <x:c r="E30" s="7" t="inlineStr">
        <x:is>
          <x:t xml:space="preserve">CONICET</x:t>
        </x:is>
      </x:c>
      <x:c r="F30" s="8" t="inlineStr">
        <x:is>
          <x:t xml:space="preserve">INV ADJUNTO</x:t>
        </x:is>
      </x:c>
      <x:c r="G30" s="8" t="inlineStr">
        <x:is>
          <x:t xml:space="preserve">Laboratorio de Fisiopatogenia</x:t>
        </x:is>
      </x:c>
      <x:c r="H30" s="8" t="inlineStr">
        <x:is>
          <x:t xml:space="preserve">Pathogenesis de E. coli y Toxina Shiga</x:t>
        </x:is>
      </x:c>
    </x:row>
    <x:row r="31">
      <x:c r="A31" s="5" t="n">
        <x:v>27</x:v>
      </x:c>
      <x:c r="B31" s="6" t="inlineStr">
        <x:is>
          <x:t xml:space="preserve">MARTINEZ, NORA ALICIA</x:t>
        </x:is>
      </x:c>
      <x:c r="C31" s="6" t="inlineStr">
        <x:is>
          <x:t xml:space="preserve">Investigadores CONICET</x:t>
        </x:is>
      </x:c>
      <x:c r="D31" s="6" t="inlineStr">
        <x:is>
          <x:t xml:space="preserve">Investigador</x:t>
        </x:is>
      </x:c>
      <x:c r="E31" s="5" t="inlineStr">
        <x:is>
          <x:t xml:space="preserve">CONICET</x:t>
        </x:is>
      </x:c>
      <x:c r="F31" s="6" t="inlineStr">
        <x:is>
          <x:t xml:space="preserve">INV ADJUNTO</x:t>
        </x:is>
      </x:c>
      <x:c r="G31" s="6" t="inlineStr">
        <x:is>
          <x:t xml:space="preserve">Laboratorio de Fisiopatogenia</x:t>
        </x:is>
      </x:c>
      <x:c r="H31" s="6" t="inlineStr">
        <x:is>
          <x:t xml:space="preserve">Patogénesis Entérica</x:t>
        </x:is>
      </x:c>
    </x:row>
    <x:row r="32">
      <x:c r="A32" s="7" t="n">
        <x:v>28</x:v>
      </x:c>
      <x:c r="B32" s="8" t="inlineStr">
        <x:is>
          <x:t xml:space="preserve">NETTI, VANINA ALEJANDRA</x:t>
        </x:is>
      </x:c>
      <x:c r="C32" s="8" t="inlineStr">
        <x:is>
          <x:t xml:space="preserve">Investigadores CONICET</x:t>
        </x:is>
      </x:c>
      <x:c r="D32" s="8" t="inlineStr">
        <x:is>
          <x:t xml:space="preserve">Investigador</x:t>
        </x:is>
      </x:c>
      <x:c r="E32" s="7" t="inlineStr">
        <x:is>
          <x:t xml:space="preserve">CONICET</x:t>
        </x:is>
      </x:c>
      <x:c r="F32" s="8" t="inlineStr">
        <x:is>
          <x:t xml:space="preserve">INV ADJUNTO</x:t>
        </x:is>
      </x:c>
      <x:c r="G32" s="8" t="inlineStr">
        <x:is>
          <x:t xml:space="preserve">Laboratorio de Biomembranas</x:t>
        </x:is>
      </x:c>
      <x:c r="H32" s="8" t="inlineStr">
        <x:is>
          <x:t xml:space="preserve">Biofísica Epitelial y Placentaria</x:t>
        </x:is>
      </x:c>
    </x:row>
    <x:row r="33">
      <x:c r="A33" s="5" t="n">
        <x:v>29</x:v>
      </x:c>
      <x:c r="B33" s="6" t="inlineStr">
        <x:is>
          <x:t xml:space="preserve">PAFUNDO, DIEGO ESTEBAN</x:t>
        </x:is>
      </x:c>
      <x:c r="C33" s="6" t="inlineStr">
        <x:is>
          <x:t xml:space="preserve">Investigadores CONICET</x:t>
        </x:is>
      </x:c>
      <x:c r="D33" s="6" t="inlineStr">
        <x:is>
          <x:t xml:space="preserve">Investigador</x:t>
        </x:is>
      </x:c>
      <x:c r="E33" s="5" t="inlineStr">
        <x:is>
          <x:t xml:space="preserve">CONICET</x:t>
        </x:is>
      </x:c>
      <x:c r="F33" s="6" t="inlineStr">
        <x:is>
          <x:t xml:space="preserve">INV ADJUNTO</x:t>
        </x:is>
      </x:c>
      <x:c r="G33" s="6" t="inlineStr">
        <x:is>
          <x:t xml:space="preserve">Grupo de Neurociencia de Sistemas</x:t>
        </x:is>
      </x:c>
      <x:c r="H33" s="6" t="inlineStr">
        <x:is>
          <x:t xml:space="preserve">Bases Neuronales de la Cognición</x:t>
        </x:is>
      </x:c>
    </x:row>
    <x:row r="34">
      <x:c r="A34" s="7" t="n">
        <x:v>30</x:v>
      </x:c>
      <x:c r="B34" s="8" t="inlineStr">
        <x:is>
          <x:t xml:space="preserve">RIVAROLA, VALERIA</x:t>
        </x:is>
      </x:c>
      <x:c r="C34" s="8" t="inlineStr">
        <x:is>
          <x:t xml:space="preserve">Investigadores CONICET</x:t>
        </x:is>
      </x:c>
      <x:c r="D34" s="8" t="inlineStr">
        <x:is>
          <x:t xml:space="preserve">Investigador</x:t>
        </x:is>
      </x:c>
      <x:c r="E34" s="7" t="inlineStr">
        <x:is>
          <x:t xml:space="preserve">CONICET</x:t>
        </x:is>
      </x:c>
      <x:c r="F34" s="8" t="inlineStr">
        <x:is>
          <x:t xml:space="preserve">INV ADJUNTO</x:t>
        </x:is>
      </x:c>
      <x:c r="G34" s="8" t="inlineStr">
        <x:is>
          <x:t xml:space="preserve">Laboratorio de Biomembranas</x:t>
        </x:is>
      </x:c>
      <x:c r="H34" s="8" t="inlineStr">
        <x:is>
          <x:t xml:space="preserve">Trastornos del Equilibrio Ácido Base</x:t>
        </x:is>
      </x:c>
    </x:row>
    <x:row r="35">
      <x:c r="A35" s="5" t="n">
        <x:v>31</x:v>
      </x:c>
      <x:c r="B35" s="6" t="inlineStr">
        <x:is>
          <x:t xml:space="preserve">SACERDOTI, FLAVIA</x:t>
        </x:is>
      </x:c>
      <x:c r="C35" s="6" t="inlineStr">
        <x:is>
          <x:t xml:space="preserve">Investigadores CONICET</x:t>
        </x:is>
      </x:c>
      <x:c r="D35" s="6" t="inlineStr">
        <x:is>
          <x:t xml:space="preserve">Investigador</x:t>
        </x:is>
      </x:c>
      <x:c r="E35" s="5" t="inlineStr">
        <x:is>
          <x:t xml:space="preserve">CONICET</x:t>
        </x:is>
      </x:c>
      <x:c r="F35" s="6" t="inlineStr">
        <x:is>
          <x:t xml:space="preserve">INV ADJUNTO</x:t>
        </x:is>
      </x:c>
      <x:c r="G35" s="6" t="inlineStr">
        <x:is>
          <x:t xml:space="preserve">Laboratorio de Fisiopatogenia</x:t>
        </x:is>
      </x:c>
      <x:c r="H35" s="6" t="inlineStr">
        <x:is>
          <x:t xml:space="preserve">Mecanismos del SUH</x:t>
        </x:is>
      </x:c>
    </x:row>
    <x:row r="36">
      <x:c r="A36" s="7" t="n">
        <x:v>32</x:v>
      </x:c>
      <x:c r="B36" s="8" t="inlineStr">
        <x:is>
          <x:t xml:space="preserve">TORIANO, ROXANA MABEL</x:t>
        </x:is>
      </x:c>
      <x:c r="C36" s="8" t="inlineStr">
        <x:is>
          <x:t xml:space="preserve">Investigadores CONICET</x:t>
        </x:is>
      </x:c>
      <x:c r="D36" s="8" t="inlineStr">
        <x:is>
          <x:t xml:space="preserve">Investigador</x:t>
        </x:is>
      </x:c>
      <x:c r="E36" s="7" t="inlineStr">
        <x:is>
          <x:t xml:space="preserve">CONICET</x:t>
        </x:is>
      </x:c>
      <x:c r="F36" s="8" t="inlineStr">
        <x:is>
          <x:t xml:space="preserve">INV ADJUNTO</x:t>
        </x:is>
      </x:c>
      <x:c r="G36" s="8" t="inlineStr">
        <x:is>
          <x:t xml:space="preserve">Laboratorio de Biomembranas</x:t>
        </x:is>
      </x:c>
      <x:c r="H36" s="8" t="inlineStr">
        <x:is>
          <x:t xml:space="preserve">Modelado Molecular y Diseño de Drogas</x:t>
        </x:is>
      </x:c>
    </x:row>
    <x:row r="37">
      <x:c r="A37" s="5" t="n">
        <x:v>33</x:v>
      </x:c>
      <x:c r="B37" s="6" t="inlineStr">
        <x:is>
          <x:t xml:space="preserve">ZOLD, CAMILA LIDIA</x:t>
        </x:is>
      </x:c>
      <x:c r="C37" s="6" t="inlineStr">
        <x:is>
          <x:t xml:space="preserve">Investigadores CONICET</x:t>
        </x:is>
      </x:c>
      <x:c r="D37" s="6" t="inlineStr">
        <x:is>
          <x:t xml:space="preserve">Investigador</x:t>
        </x:is>
      </x:c>
      <x:c r="E37" s="5" t="inlineStr">
        <x:is>
          <x:t xml:space="preserve">CONICET</x:t>
        </x:is>
      </x:c>
      <x:c r="F37" s="6" t="inlineStr">
        <x:is>
          <x:t xml:space="preserve">INV ADJUNTO</x:t>
        </x:is>
      </x:c>
      <x:c r="G37" s="6" t="inlineStr">
        <x:is>
          <x:t xml:space="preserve">Grupo de Neurociencia de Sistemas</x:t>
        </x:is>
      </x:c>
      <x:c r="H37" s="6" t="inlineStr">
        <x:is>
          <x:t xml:space="preserve">Neurofisiología del Aprendizaje</x:t>
        </x:is>
      </x:c>
    </x:row>
    <x:row r="38">
      <x:c r="A38" s="7" t="n">
        <x:v>34</x:v>
      </x:c>
      <x:c r="B38" s="8" t="inlineStr">
        <x:is>
          <x:t xml:space="preserve">SZPILBARG, NATALIA</x:t>
        </x:is>
      </x:c>
      <x:c r="C38" s="8" t="inlineStr">
        <x:is>
          <x:t xml:space="preserve">Investigadores CONICET</x:t>
        </x:is>
      </x:c>
      <x:c r="D38" s="8" t="inlineStr">
        <x:is>
          <x:t xml:space="preserve">Investigador</x:t>
        </x:is>
      </x:c>
      <x:c r="E38" s="7" t="inlineStr">
        <x:is>
          <x:t xml:space="preserve">CONICET</x:t>
        </x:is>
      </x:c>
      <x:c r="F38" s="8" t="inlineStr">
        <x:is>
          <x:t xml:space="preserve">INV ASISTENTE</x:t>
        </x:is>
      </x:c>
      <x:c r="G38" s="8" t="inlineStr">
        <x:is>
          <x:t xml:space="preserve">Laboratorio de Fisiopatogenia</x:t>
        </x:is>
      </x:c>
      <x:c r="H38" s="8" t="inlineStr">
        <x:is>
          <x:t xml:space="preserve">Síndrome Urémico Hemolítico</x:t>
        </x:is>
      </x:c>
    </x:row>
    <x:row r="39">
      <x:c r="A39" s="5" t="n">
        <x:v>35</x:v>
      </x:c>
      <x:c r="B39" s="6" t="inlineStr">
        <x:is>
          <x:t xml:space="preserve">TUBERT, CECILIA</x:t>
        </x:is>
      </x:c>
      <x:c r="C39" s="6" t="inlineStr">
        <x:is>
          <x:t xml:space="preserve">Investigadores CONICET</x:t>
        </x:is>
      </x:c>
      <x:c r="D39" s="6" t="inlineStr">
        <x:is>
          <x:t xml:space="preserve">Investigador</x:t>
        </x:is>
      </x:c>
      <x:c r="E39" s="5" t="inlineStr">
        <x:is>
          <x:t xml:space="preserve">CONICET</x:t>
        </x:is>
      </x:c>
      <x:c r="F39" s="6" t="inlineStr">
        <x:is>
          <x:t xml:space="preserve">INV ASISTENTE</x:t>
        </x:is>
      </x:c>
      <x:c r="G39" s="6" t="inlineStr">
        <x:is>
          <x:t xml:space="preserve">Grupo de Neurociencia de Sistemas</x:t>
        </x:is>
      </x:c>
      <x:c r="H39" s="6" t="inlineStr">
        <x:is>
          <x:t xml:space="preserve">Fisiología de Circuitos Neuronales</x:t>
        </x:is>
      </x:c>
    </x:row>
    <x:row r="40">
      <x:c r="A40" s="7" t="n">
        <x:v>36</x:v>
      </x:c>
      <x:c r="B40" s="8" t="inlineStr">
        <x:is>
          <x:t xml:space="preserve">VALDIVIA TORRES, LESLY SPRING</x:t>
        </x:is>
      </x:c>
      <x:c r="C40" s="8" t="inlineStr">
        <x:is>
          <x:t xml:space="preserve">Investigadores CONICET</x:t>
        </x:is>
      </x:c>
      <x:c r="D40" s="8" t="inlineStr">
        <x:is>
          <x:t xml:space="preserve">Investigador</x:t>
        </x:is>
      </x:c>
      <x:c r="E40" s="7" t="inlineStr">
        <x:is>
          <x:t xml:space="preserve">CONICET</x:t>
        </x:is>
      </x:c>
      <x:c r="F40" s="8" t="inlineStr">
        <x:is>
          <x:t xml:space="preserve">INV ASISTENTE</x:t>
        </x:is>
      </x:c>
      <x:c r="G40" s="8" t="inlineStr">
        <x:is>
          <x:t xml:space="preserve">Grupo de Neurociencia de Sistemas</x:t>
        </x:is>
      </x:c>
      <x:c r="H40" s="8" t="inlineStr">
        <x:is>
          <x:t xml:space="preserve">Desórdenes Neurológicos y Psiquiátricos</x:t>
        </x:is>
      </x:c>
    </x:row>
    <x:row r="41">
      <x:c r="A41" s="5" t="n">
        <x:v>37</x:v>
      </x:c>
      <x:c r="B41" s="6" t="inlineStr">
        <x:is>
          <x:t xml:space="preserve">VARANI, ANDRÉS PABLO</x:t>
        </x:is>
      </x:c>
      <x:c r="C41" s="6" t="inlineStr">
        <x:is>
          <x:t xml:space="preserve">Investigadores CONICET</x:t>
        </x:is>
      </x:c>
      <x:c r="D41" s="6" t="inlineStr">
        <x:is>
          <x:t xml:space="preserve">Investigador</x:t>
        </x:is>
      </x:c>
      <x:c r="E41" s="5" t="inlineStr">
        <x:is>
          <x:t xml:space="preserve">CONICET</x:t>
        </x:is>
      </x:c>
      <x:c r="F41" s="6" t="inlineStr">
        <x:is>
          <x:t xml:space="preserve">INV ASISTENTE</x:t>
        </x:is>
      </x:c>
      <x:c r="G41" s="6" t="inlineStr">
        <x:is>
          <x:t xml:space="preserve">Grupo de Neurociencia de Sistemas</x:t>
        </x:is>
      </x:c>
      <x:c r="H41" s="6" t="inlineStr">
        <x:is>
          <x:t xml:space="preserve">Fisiología del Sistema Nervioso Central</x:t>
        </x:is>
      </x:c>
    </x:row>
    <x:row r="42">
      <x:c r="A42" s="7" t="n">
        <x:v>38</x:v>
      </x:c>
      <x:c r="B42" s="8" t="inlineStr">
        <x:is>
          <x:t xml:space="preserve">IBARRA, CRISTINA ADRIANA</x:t>
        </x:is>
      </x:c>
      <x:c r="C42" s="8" t="inlineStr">
        <x:is>
          <x:t xml:space="preserve">CONICET Contratados</x:t>
        </x:is>
      </x:c>
      <x:c r="D42" s="8" t="inlineStr">
        <x:is>
          <x:t xml:space="preserve">Investigador Contratado</x:t>
        </x:is>
      </x:c>
      <x:c r="E42" s="7" t="inlineStr">
        <x:is>
          <x:t xml:space="preserve">CONICET</x:t>
        </x:is>
      </x:c>
      <x:c r="F42" s="8" t="inlineStr">
        <x:is>
          <x:t xml:space="preserve">INV. PRINCIPAL AD-HONOREM</x:t>
        </x:is>
      </x:c>
      <x:c r="G42" s="8" t="inlineStr">
        <x:is>
          <x:t xml:space="preserve">Laboratorio de Fisiopatogenia</x:t>
        </x:is>
      </x:c>
      <x:c r="H42" s="8" t="inlineStr">
        <x:is>
          <x:t xml:space="preserve">Directora Lab. Fisiopatogenia</x:t>
        </x:is>
      </x:c>
    </x:row>
    <x:row r="43">
      <x:c r="A43" s="5" t="n">
        <x:v>39</x:v>
      </x:c>
      <x:c r="B43" s="6" t="inlineStr">
        <x:is>
          <x:t xml:space="preserve">CELI CASTILLO, ANA BEATRIZ</x:t>
        </x:is>
      </x:c>
      <x:c r="C43" s="6" t="inlineStr">
        <x:is>
          <x:t xml:space="preserve">Becarios CONICET</x:t>
        </x:is>
      </x:c>
      <x:c r="D43" s="6" t="inlineStr">
        <x:is>
          <x:t xml:space="preserve">Becario</x:t>
        </x:is>
      </x:c>
      <x:c r="E43" s="5" t="inlineStr">
        <x:is>
          <x:t xml:space="preserve">CONICET</x:t>
        </x:is>
      </x:c>
      <x:c r="F43" s="6" t="inlineStr">
        <x:is>
          <x:t xml:space="preserve">Int. Doctoral Proyectos UE</x:t>
        </x:is>
      </x:c>
      <x:c r="G43" s="6" t="inlineStr">
        <x:is>
          <x:t xml:space="preserve">Laboratorio de Biomembranas</x:t>
        </x:is>
      </x:c>
      <x:c r="H43" s="6" t="inlineStr">
        <x:is>
          <x:t xml:space="preserve">Biofísica de Aquaporinas</x:t>
        </x:is>
      </x:c>
    </x:row>
    <x:row r="44">
      <x:c r="A44" s="7" t="n">
        <x:v>40</x:v>
      </x:c>
      <x:c r="B44" s="8" t="inlineStr">
        <x:is>
          <x:t xml:space="preserve">GOMEZ, FERNANDO DANIEL</x:t>
        </x:is>
      </x:c>
      <x:c r="C44" s="8" t="inlineStr">
        <x:is>
          <x:t xml:space="preserve">Becarios CONICET</x:t>
        </x:is>
      </x:c>
      <x:c r="D44" s="8" t="inlineStr">
        <x:is>
          <x:t xml:space="preserve">Becario</x:t>
        </x:is>
      </x:c>
      <x:c r="E44" s="7" t="inlineStr">
        <x:is>
          <x:t xml:space="preserve">CONICET</x:t>
        </x:is>
      </x:c>
      <x:c r="F44" s="8" t="inlineStr">
        <x:is>
          <x:t xml:space="preserve">Int. Doctoral Proyectos UE</x:t>
        </x:is>
      </x:c>
      <x:c r="G44" s="8" t="inlineStr">
        <x:is>
          <x:t xml:space="preserve">Laboratorio de Fisiopatogenia</x:t>
        </x:is>
      </x:c>
      <x:c r="H44" s="8" t="inlineStr">
        <x:is>
          <x:t xml:space="preserve">Mecanismos de Toxina Shiga</x:t>
        </x:is>
      </x:c>
    </x:row>
    <x:row r="45">
      <x:c r="A45" s="5" t="n">
        <x:v>41</x:v>
      </x:c>
      <x:c r="B45" s="6" t="inlineStr">
        <x:is>
          <x:t xml:space="preserve">GIRÓN REYES, CLAUDIO DANIEL</x:t>
        </x:is>
      </x:c>
      <x:c r="C45" s="6" t="inlineStr">
        <x:is>
          <x:t xml:space="preserve">Becarios CONICET</x:t>
        </x:is>
      </x:c>
      <x:c r="D45" s="6" t="inlineStr">
        <x:is>
          <x:t xml:space="preserve">Becario</x:t>
        </x:is>
      </x:c>
      <x:c r="E45" s="5" t="inlineStr">
        <x:is>
          <x:t xml:space="preserve">CONICET</x:t>
        </x:is>
      </x:c>
      <x:c r="F45" s="6" t="inlineStr">
        <x:is>
          <x:t xml:space="preserve">DOC. C/PAISES LATINOAMERICANOS</x:t>
        </x:is>
      </x:c>
      <x:c r="G45" s="6" t="inlineStr">
        <x:is>
          <x:t xml:space="preserve">Laboratorio de Fisiopatogenia</x:t>
        </x:is>
      </x:c>
      <x:c r="H45" s="6" t="inlineStr">
        <x:is>
          <x:t xml:space="preserve">Toxina Shiga y SUH</x:t>
        </x:is>
      </x:c>
    </x:row>
    <x:row r="46">
      <x:c r="A46" s="7" t="n">
        <x:v>42</x:v>
      </x:c>
      <x:c r="B46" s="8" t="inlineStr">
        <x:is>
          <x:t xml:space="preserve">COLL, CAMILA</x:t>
        </x:is>
      </x:c>
      <x:c r="C46" s="8" t="inlineStr">
        <x:is>
          <x:t xml:space="preserve">Becarios CONICET</x:t>
        </x:is>
      </x:c>
      <x:c r="D46" s="8" t="inlineStr">
        <x:is>
          <x:t xml:space="preserve">Becario</x:t>
        </x:is>
      </x:c>
      <x:c r="E46" s="7" t="inlineStr">
        <x:is>
          <x:t xml:space="preserve">CONICET</x:t>
        </x:is>
      </x:c>
      <x:c r="F46" s="8" t="inlineStr">
        <x:is>
          <x:t xml:space="preserve">BECA INTERNA DOCTORAL</x:t>
        </x:is>
      </x:c>
      <x:c r="G46" s="8" t="inlineStr">
        <x:is>
          <x:t xml:space="preserve">Grupo de Neurociencia de Sistemas</x:t>
        </x:is>
      </x:c>
      <x:c r="H46" s="8" t="inlineStr">
        <x:is>
          <x:t xml:space="preserve">Neurociencias</x:t>
        </x:is>
      </x:c>
    </x:row>
    <x:row r="47">
      <x:c r="A47" s="5" t="n">
        <x:v>43</x:v>
      </x:c>
      <x:c r="B47" s="6" t="inlineStr">
        <x:is>
          <x:t xml:space="preserve">FERNANDEZ, NAZARENA SOL</x:t>
        </x:is>
      </x:c>
      <x:c r="C47" s="6" t="inlineStr">
        <x:is>
          <x:t xml:space="preserve">Becarios CONICET</x:t>
        </x:is>
      </x:c>
      <x:c r="D47" s="6" t="inlineStr">
        <x:is>
          <x:t xml:space="preserve">Becario</x:t>
        </x:is>
      </x:c>
      <x:c r="E47" s="5" t="inlineStr">
        <x:is>
          <x:t xml:space="preserve">CONICET</x:t>
        </x:is>
      </x:c>
      <x:c r="F47" s="6" t="inlineStr">
        <x:is>
          <x:t xml:space="preserve">BECA INTERNA DOCTORAL</x:t>
        </x:is>
      </x:c>
      <x:c r="G47" s="6" t="inlineStr">
        <x:is>
          <x:t xml:space="preserve">Laboratorio de Biomembranas</x:t>
        </x:is>
      </x:c>
      <x:c r="H47" s="6" t="inlineStr">
        <x:is>
          <x:t xml:space="preserve">Biofísica de Aquaporinas</x:t>
        </x:is>
      </x:c>
    </x:row>
    <x:row r="48">
      <x:c r="A48" s="7" t="n">
        <x:v>44</x:v>
      </x:c>
      <x:c r="B48" s="8" t="inlineStr">
        <x:is>
          <x:t xml:space="preserve">FULGINITI, NICOLÁS MARCELO</x:t>
        </x:is>
      </x:c>
      <x:c r="C48" s="8" t="inlineStr">
        <x:is>
          <x:t xml:space="preserve">Becarios CONICET</x:t>
        </x:is>
      </x:c>
      <x:c r="D48" s="8" t="inlineStr">
        <x:is>
          <x:t xml:space="preserve">Becario</x:t>
        </x:is>
      </x:c>
      <x:c r="E48" s="7" t="inlineStr">
        <x:is>
          <x:t xml:space="preserve">CONICET</x:t>
        </x:is>
      </x:c>
      <x:c r="F48" s="8" t="inlineStr">
        <x:is>
          <x:t xml:space="preserve">BECA INTERNA DOCTORAL</x:t>
        </x:is>
      </x:c>
      <x:c r="G48" s="8" t="inlineStr">
        <x:is>
          <x:t xml:space="preserve">Grupo de Neurociencia de Sistemas</x:t>
        </x:is>
      </x:c>
      <x:c r="H48" s="8" t="inlineStr">
        <x:is>
          <x:t xml:space="preserve">Neurociencias</x:t>
        </x:is>
      </x:c>
    </x:row>
    <x:row r="49">
      <x:c r="A49" s="5" t="n">
        <x:v>45</x:v>
      </x:c>
      <x:c r="B49" s="6" t="inlineStr">
        <x:is>
          <x:t xml:space="preserve">GOMEZ ACOSTA, MARTINA</x:t>
        </x:is>
      </x:c>
      <x:c r="C49" s="6" t="inlineStr">
        <x:is>
          <x:t xml:space="preserve">Becarios CONICET</x:t>
        </x:is>
      </x:c>
      <x:c r="D49" s="6" t="inlineStr">
        <x:is>
          <x:t xml:space="preserve">Becario</x:t>
        </x:is>
      </x:c>
      <x:c r="E49" s="5" t="inlineStr">
        <x:is>
          <x:t xml:space="preserve">CONICET</x:t>
        </x:is>
      </x:c>
      <x:c r="F49" s="6" t="inlineStr">
        <x:is>
          <x:t xml:space="preserve">BECA INTERNA DOCTORAL</x:t>
        </x:is>
      </x:c>
      <x:c r="G49" s="6" t="inlineStr">
        <x:is>
          <x:t xml:space="preserve">Grupo de Neurociencia de Sistemas</x:t>
        </x:is>
      </x:c>
      <x:c r="H49" s="6" t="inlineStr">
        <x:is>
          <x:t xml:space="preserve">Neurociencias</x:t>
        </x:is>
      </x:c>
    </x:row>
    <x:row r="50">
      <x:c r="A50" s="7" t="n">
        <x:v>46</x:v>
      </x:c>
      <x:c r="B50" s="8" t="inlineStr">
        <x:is>
          <x:t xml:space="preserve">MOLINA PONCE, TOMÁS IGNACIO</x:t>
        </x:is>
      </x:c>
      <x:c r="C50" s="8" t="inlineStr">
        <x:is>
          <x:t xml:space="preserve">Becarios CONICET</x:t>
        </x:is>
      </x:c>
      <x:c r="D50" s="8" t="inlineStr">
        <x:is>
          <x:t xml:space="preserve">Becario</x:t>
        </x:is>
      </x:c>
      <x:c r="E50" s="7" t="inlineStr">
        <x:is>
          <x:t xml:space="preserve">CONICET</x:t>
        </x:is>
      </x:c>
      <x:c r="F50" s="8" t="inlineStr">
        <x:is>
          <x:t xml:space="preserve">BECA INTERNA DOCTORAL</x:t>
        </x:is>
      </x:c>
      <x:c r="G50" s="8" t="inlineStr">
        <x:is>
          <x:t xml:space="preserve">Laboratorio de Biomembranas</x:t>
        </x:is>
      </x:c>
      <x:c r="H50" s="8" t="inlineStr">
        <x:is>
          <x:t xml:space="preserve">Biofísica de Aquaporinas</x:t>
        </x:is>
      </x:c>
    </x:row>
    <x:row r="51">
      <x:c r="A51" s="5" t="n">
        <x:v>47</x:v>
      </x:c>
      <x:c r="B51" s="6" t="inlineStr">
        <x:is>
          <x:t xml:space="preserve">ORTIZ, JOAQUIN</x:t>
        </x:is>
      </x:c>
      <x:c r="C51" s="6" t="inlineStr">
        <x:is>
          <x:t xml:space="preserve">Becarios CONICET</x:t>
        </x:is>
      </x:c>
      <x:c r="D51" s="6" t="inlineStr">
        <x:is>
          <x:t xml:space="preserve">Becario</x:t>
        </x:is>
      </x:c>
      <x:c r="E51" s="5" t="inlineStr">
        <x:is>
          <x:t xml:space="preserve">CONICET</x:t>
        </x:is>
      </x:c>
      <x:c r="F51" s="6" t="inlineStr">
        <x:is>
          <x:t xml:space="preserve">BECA INTERNA DOCTORAL</x:t>
        </x:is>
      </x:c>
      <x:c r="G51" s="6" t="inlineStr">
        <x:is>
          <x:t xml:space="preserve">Laboratorio de Fisiopatogenia</x:t>
        </x:is>
      </x:c>
      <x:c r="H51" s="6" t="inlineStr">
        <x:is>
          <x:t xml:space="preserve">Fisiopatología del SUH</x:t>
        </x:is>
      </x:c>
    </x:row>
    <x:row r="52">
      <x:c r="A52" s="7" t="n">
        <x:v>48</x:v>
      </x:c>
      <x:c r="B52" s="8" t="inlineStr">
        <x:is>
          <x:t xml:space="preserve">SANTOS, MARÍA FLORENCIA</x:t>
        </x:is>
      </x:c>
      <x:c r="C52" s="8" t="inlineStr">
        <x:is>
          <x:t xml:space="preserve">Becarios CONICET</x:t>
        </x:is>
      </x:c>
      <x:c r="D52" s="8" t="inlineStr">
        <x:is>
          <x:t xml:space="preserve">Becario</x:t>
        </x:is>
      </x:c>
      <x:c r="E52" s="7" t="inlineStr">
        <x:is>
          <x:t xml:space="preserve">CONICET</x:t>
        </x:is>
      </x:c>
      <x:c r="F52" s="8" t="inlineStr">
        <x:is>
          <x:t xml:space="preserve">BECA INTERNA DOCTORAL</x:t>
        </x:is>
      </x:c>
      <x:c r="G52" s="8" t="inlineStr">
        <x:is>
          <x:t xml:space="preserve">Grupo de Neurociencia de Sistemas</x:t>
        </x:is>
      </x:c>
      <x:c r="H52" s="8" t="inlineStr">
        <x:is>
          <x:t xml:space="preserve">Neurociencias</x:t>
        </x:is>
      </x:c>
    </x:row>
    <x:row r="53">
      <x:c r="A53" s="5" t="n">
        <x:v>49</x:v>
      </x:c>
      <x:c r="B53" s="6" t="inlineStr">
        <x:is>
          <x:t xml:space="preserve">SIERRA, MATIAS NICOLAS</x:t>
        </x:is>
      </x:c>
      <x:c r="C53" s="6" t="inlineStr">
        <x:is>
          <x:t xml:space="preserve">Becarios CONICET</x:t>
        </x:is>
      </x:c>
      <x:c r="D53" s="6" t="inlineStr">
        <x:is>
          <x:t xml:space="preserve">Becario</x:t>
        </x:is>
      </x:c>
      <x:c r="E53" s="5" t="inlineStr">
        <x:is>
          <x:t xml:space="preserve">CONICET</x:t>
        </x:is>
      </x:c>
      <x:c r="F53" s="6" t="inlineStr">
        <x:is>
          <x:t xml:space="preserve">BECA INTERNA DOCTORAL</x:t>
        </x:is>
      </x:c>
      <x:c r="G53" s="6" t="inlineStr">
        <x:is>
          <x:t xml:space="preserve">Laboratorio de Biomembranas</x:t>
        </x:is>
      </x:c>
      <x:c r="H53" s="6" t="inlineStr">
        <x:is>
          <x:t xml:space="preserve">Biofísica de Aquaporinas</x:t>
        </x:is>
      </x:c>
    </x:row>
    <x:row r="54">
      <x:c r="A54" s="7" t="n">
        <x:v>50</x:v>
      </x:c>
      <x:c r="B54" s="8" t="inlineStr">
        <x:is>
          <x:t xml:space="preserve">STAHL, AGOSTINA MÓNICA</x:t>
        </x:is>
      </x:c>
      <x:c r="C54" s="8" t="inlineStr">
        <x:is>
          <x:t xml:space="preserve">Becarios CONICET</x:t>
        </x:is>
      </x:c>
      <x:c r="D54" s="8" t="inlineStr">
        <x:is>
          <x:t xml:space="preserve">Becario</x:t>
        </x:is>
      </x:c>
      <x:c r="E54" s="7" t="inlineStr">
        <x:is>
          <x:t xml:space="preserve">CONICET</x:t>
        </x:is>
      </x:c>
      <x:c r="F54" s="8" t="inlineStr">
        <x:is>
          <x:t xml:space="preserve">BECA INTERNA DOCTORAL</x:t>
        </x:is>
      </x:c>
      <x:c r="G54" s="8" t="inlineStr">
        <x:is>
          <x:t xml:space="preserve">Grupo de Neurociencia de Sistemas</x:t>
        </x:is>
      </x:c>
      <x:c r="H54" s="8" t="inlineStr">
        <x:is>
          <x:t xml:space="preserve">Neurociencias</x:t>
        </x:is>
      </x:c>
    </x:row>
    <x:row r="55">
      <x:c r="A55" s="5" t="n">
        <x:v>51</x:v>
      </x:c>
      <x:c r="B55" s="6" t="inlineStr">
        <x:is>
          <x:t xml:space="preserve">TRUJILLO, MARÍA JESÚS</x:t>
        </x:is>
      </x:c>
      <x:c r="C55" s="6" t="inlineStr">
        <x:is>
          <x:t xml:space="preserve">Becarios CONICET</x:t>
        </x:is>
      </x:c>
      <x:c r="D55" s="6" t="inlineStr">
        <x:is>
          <x:t xml:space="preserve">Becario</x:t>
        </x:is>
      </x:c>
      <x:c r="E55" s="5" t="inlineStr">
        <x:is>
          <x:t xml:space="preserve">CONICET</x:t>
        </x:is>
      </x:c>
      <x:c r="F55" s="6" t="inlineStr">
        <x:is>
          <x:t xml:space="preserve">BECA INTERNA DOCTORAL</x:t>
        </x:is>
      </x:c>
      <x:c r="G55" s="6" t="inlineStr">
        <x:is>
          <x:t xml:space="preserve">Grupo de Neurociencia de Sistemas</x:t>
        </x:is>
      </x:c>
      <x:c r="H55" s="6" t="inlineStr">
        <x:is>
          <x:t xml:space="preserve">Neurociencias</x:t>
        </x:is>
      </x:c>
    </x:row>
    <x:row r="56">
      <x:c r="A56" s="7" t="n">
        <x:v>52</x:v>
      </x:c>
      <x:c r="B56" s="8" t="inlineStr">
        <x:is>
          <x:t xml:space="preserve">UEHARA, JUAN MARTÍN</x:t>
        </x:is>
      </x:c>
      <x:c r="C56" s="8" t="inlineStr">
        <x:is>
          <x:t xml:space="preserve">Becarios CONICET</x:t>
        </x:is>
      </x:c>
      <x:c r="D56" s="8" t="inlineStr">
        <x:is>
          <x:t xml:space="preserve">Becario</x:t>
        </x:is>
      </x:c>
      <x:c r="E56" s="7" t="inlineStr">
        <x:is>
          <x:t xml:space="preserve">CONICET</x:t>
        </x:is>
      </x:c>
      <x:c r="F56" s="8" t="inlineStr">
        <x:is>
          <x:t xml:space="preserve">BECA INTERNA DOCTORAL</x:t>
        </x:is>
      </x:c>
      <x:c r="G56" s="8" t="inlineStr">
        <x:is>
          <x:t xml:space="preserve">Grupo de Neurociencia de Sistemas</x:t>
        </x:is>
      </x:c>
      <x:c r="H56" s="8" t="inlineStr">
        <x:is>
          <x:t xml:space="preserve">Neurociencias</x:t>
        </x:is>
      </x:c>
    </x:row>
    <x:row r="57">
      <x:c r="A57" s="5" t="n">
        <x:v>53</x:v>
      </x:c>
      <x:c r="B57" s="6" t="inlineStr">
        <x:is>
          <x:t xml:space="preserve">CUTRERA, NICOLAS MARIA</x:t>
        </x:is>
      </x:c>
      <x:c r="C57" s="6" t="inlineStr">
        <x:is>
          <x:t xml:space="preserve">Becarios CONICET</x:t>
        </x:is>
      </x:c>
      <x:c r="D57" s="6" t="inlineStr">
        <x:is>
          <x:t xml:space="preserve">Becario</x:t>
        </x:is>
      </x:c>
      <x:c r="E57" s="5" t="inlineStr">
        <x:is>
          <x:t xml:space="preserve">CONICET</x:t>
        </x:is>
      </x:c>
      <x:c r="F57" s="6" t="inlineStr">
        <x:is>
          <x:t xml:space="preserve">INTERNA DE FIN DE DOCTORADO</x:t>
        </x:is>
      </x:c>
      <x:c r="G57" s="6" t="inlineStr">
        <x:is>
          <x:t xml:space="preserve">Laboratorio de Biomembranas</x:t>
        </x:is>
      </x:c>
      <x:c r="H57" s="6" t="inlineStr">
        <x:is>
          <x:t xml:space="preserve">Biofísica de Aquaporinas</x:t>
        </x:is>
      </x:c>
    </x:row>
    <x:row r="58">
      <x:c r="A58" s="7" t="n">
        <x:v>54</x:v>
      </x:c>
      <x:c r="B58" s="8" t="inlineStr">
        <x:is>
          <x:t xml:space="preserve">FOTTI, JAVIER HERNÁN</x:t>
        </x:is>
      </x:c>
      <x:c r="C58" s="8" t="inlineStr">
        <x:is>
          <x:t xml:space="preserve">Becarios CONICET</x:t>
        </x:is>
      </x:c>
      <x:c r="D58" s="8" t="inlineStr">
        <x:is>
          <x:t xml:space="preserve">Becario</x:t>
        </x:is>
      </x:c>
      <x:c r="E58" s="7" t="inlineStr">
        <x:is>
          <x:t xml:space="preserve">CONICET</x:t>
        </x:is>
      </x:c>
      <x:c r="F58" s="8" t="inlineStr">
        <x:is>
          <x:t xml:space="preserve">INTERNA DE FIN DE DOCTORADO</x:t>
        </x:is>
      </x:c>
      <x:c r="G58" s="8" t="inlineStr">
        <x:is>
          <x:t xml:space="preserve">Grupo de Neurociencia de Sistemas</x:t>
        </x:is>
      </x:c>
      <x:c r="H58" s="8" t="inlineStr">
        <x:is>
          <x:t xml:space="preserve">Formación de Redes Neurales / Olfato</x:t>
        </x:is>
      </x:c>
    </x:row>
    <x:row r="59">
      <x:c r="A59" s="5" t="n">
        <x:v>55</x:v>
      </x:c>
      <x:c r="B59" s="6" t="inlineStr">
        <x:is>
          <x:t xml:space="preserve">GIOIA, DAIANA SOLANGE</x:t>
        </x:is>
      </x:c>
      <x:c r="C59" s="6" t="inlineStr">
        <x:is>
          <x:t xml:space="preserve">Becarios CONICET</x:t>
        </x:is>
      </x:c>
      <x:c r="D59" s="6" t="inlineStr">
        <x:is>
          <x:t xml:space="preserve">Becario</x:t>
        </x:is>
      </x:c>
      <x:c r="E59" s="5" t="inlineStr">
        <x:is>
          <x:t xml:space="preserve">CONICET</x:t>
        </x:is>
      </x:c>
      <x:c r="F59" s="6" t="inlineStr">
        <x:is>
          <x:t xml:space="preserve">INTERNA DE FIN DE DOCTORADO</x:t>
        </x:is>
      </x:c>
      <x:c r="G59" s="6" t="inlineStr">
        <x:is>
          <x:t xml:space="preserve">Laboratorio de Biomembranas</x:t>
        </x:is>
      </x:c>
      <x:c r="H59" s="6" t="inlineStr">
        <x:is>
          <x:t xml:space="preserve">Biofísica de Aquaporinas</x:t>
        </x:is>
      </x:c>
    </x:row>
    <x:row r="60">
      <x:c r="A60" s="7" t="n">
        <x:v>56</x:v>
      </x:c>
      <x:c r="B60" s="8" t="inlineStr">
        <x:is>
          <x:t xml:space="preserve">ROCCO, LEANDRO CARLOS CATRIEL</x:t>
        </x:is>
      </x:c>
      <x:c r="C60" s="8" t="inlineStr">
        <x:is>
          <x:t xml:space="preserve">Becarios CONICET</x:t>
        </x:is>
      </x:c>
      <x:c r="D60" s="8" t="inlineStr">
        <x:is>
          <x:t xml:space="preserve">Becario</x:t>
        </x:is>
      </x:c>
      <x:c r="E60" s="7" t="inlineStr">
        <x:is>
          <x:t xml:space="preserve">CONICET</x:t>
        </x:is>
      </x:c>
      <x:c r="F60" s="8" t="inlineStr">
        <x:is>
          <x:t xml:space="preserve">INTERNA DE FIN DE DOCTORADO</x:t>
        </x:is>
      </x:c>
      <x:c r="G60" s="8" t="inlineStr">
        <x:is>
          <x:t xml:space="preserve">Grupo de Neurociencia de Sistemas</x:t>
        </x:is>
      </x:c>
      <x:c r="H60" s="8" t="inlineStr">
        <x:is>
          <x:t xml:space="preserve">Neurociencias</x:t>
        </x:is>
      </x:c>
    </x:row>
    <x:row r="61">
      <x:c r="A61" s="5" t="n">
        <x:v>57</x:v>
      </x:c>
      <x:c r="B61" s="6" t="inlineStr">
        <x:is>
          <x:t xml:space="preserve">MONTENEGRO, MAURICIO NORMAN</x:t>
        </x:is>
      </x:c>
      <x:c r="C61" s="6" t="inlineStr">
        <x:is>
          <x:t xml:space="preserve">Becarios CONICET</x:t>
        </x:is>
      </x:c>
      <x:c r="D61" s="6" t="inlineStr">
        <x:is>
          <x:t xml:space="preserve">Becario</x:t>
        </x:is>
      </x:c>
      <x:c r="E61" s="5" t="inlineStr">
        <x:is>
          <x:t xml:space="preserve">CONICET</x:t>
        </x:is>
      </x:c>
      <x:c r="F61" s="6" t="inlineStr">
        <x:is>
          <x:t xml:space="preserve">POST.DOCTORAL INT.</x:t>
        </x:is>
      </x:c>
      <x:c r="G61" s="6" t="inlineStr">
        <x:is>
          <x:t xml:space="preserve">Grupo de Neurociencia de Sistemas</x:t>
        </x:is>
      </x:c>
      <x:c r="H61" s="6" t="inlineStr">
        <x:is>
          <x:t xml:space="preserve">Fisiología del Sistema Nervioso</x:t>
        </x:is>
      </x:c>
    </x:row>
    <x:row r="62">
      <x:c r="A62" s="7" t="n">
        <x:v>58</x:v>
      </x:c>
      <x:c r="B62" s="8" t="inlineStr">
        <x:is>
          <x:t xml:space="preserve">GIUGOVAZ TROPPER, BARBARA ANGELICA</x:t>
        </x:is>
      </x:c>
      <x:c r="C62" s="8" t="inlineStr">
        <x:is>
          <x:t xml:space="preserve">Personal de Apoyo CONICET</x:t>
        </x:is>
      </x:c>
      <x:c r="D62" s="8" t="inlineStr">
        <x:is>
          <x:t xml:space="preserve">Personal de Apoyo</x:t>
        </x:is>
      </x:c>
      <x:c r="E62" s="7" t="inlineStr">
        <x:is>
          <x:t xml:space="preserve">CONICET</x:t>
        </x:is>
      </x:c>
      <x:c r="F62" s="8" t="inlineStr">
        <x:is>
          <x:t xml:space="preserve">PROFESIONAL PRINCIP.</x:t>
        </x:is>
      </x:c>
      <x:c r="G62" s="8" t="inlineStr">
        <x:is>
          <x:t xml:space="preserve">Servicios / Apoyo Téchinco</x:t>
        </x:is>
      </x:c>
      <x:c r="H62" s="8" t="inlineStr">
        <x:is>
          <x:t xml:space="preserve">Profesional Principal</x:t>
        </x:is>
      </x:c>
    </x:row>
    <x:row r="63">
      <x:c r="A63" s="5" t="n">
        <x:v>59</x:v>
      </x:c>
      <x:c r="B63" s="6" t="inlineStr">
        <x:is>
          <x:t xml:space="preserve">VALVERDE, ESTEBAN RAUL</x:t>
        </x:is>
      </x:c>
      <x:c r="C63" s="6" t="inlineStr">
        <x:is>
          <x:t xml:space="preserve">Personal de Apoyo CONICET</x:t>
        </x:is>
      </x:c>
      <x:c r="D63" s="6" t="inlineStr">
        <x:is>
          <x:t xml:space="preserve">Personal de Apoyo</x:t>
        </x:is>
      </x:c>
      <x:c r="E63" s="5" t="inlineStr">
        <x:is>
          <x:t xml:space="preserve">CONICET</x:t>
        </x:is>
      </x:c>
      <x:c r="F63" s="6" t="inlineStr">
        <x:is>
          <x:t xml:space="preserve">PROFESIONAL ADJUNTO</x:t>
        </x:is>
      </x:c>
      <x:c r="G63" s="6" t="inlineStr">
        <x:is>
          <x:t xml:space="preserve">Servicios / Apoyo Técnico</x:t>
        </x:is>
      </x:c>
      <x:c r="H63" s="6" t="inlineStr">
        <x:is>
          <x:t xml:space="preserve">Profesional Adjunto</x:t>
        </x:is>
      </x:c>
    </x:row>
    <x:row r="64">
      <x:c r="A64" s="7" t="n">
        <x:v>60</x:v>
      </x:c>
      <x:c r="B64" s="8" t="inlineStr">
        <x:is>
          <x:t xml:space="preserve">CASAL, JUAN JOSÉ</x:t>
        </x:is>
      </x:c>
      <x:c r="C64" s="8" t="inlineStr">
        <x:is>
          <x:t xml:space="preserve">Personal de Apoyo CONICET</x:t>
        </x:is>
      </x:c>
      <x:c r="D64" s="8" t="inlineStr">
        <x:is>
          <x:t xml:space="preserve">Personal de Apoyo</x:t>
        </x:is>
      </x:c>
      <x:c r="E64" s="7" t="inlineStr">
        <x:is>
          <x:t xml:space="preserve">CONICET</x:t>
        </x:is>
      </x:c>
      <x:c r="F64" s="8" t="inlineStr">
        <x:is>
          <x:t xml:space="preserve">PROFESIONAL ASISTEN.</x:t>
        </x:is>
      </x:c>
      <x:c r="G64" s="8" t="inlineStr">
        <x:is>
          <x:t xml:space="preserve">Servicios / Apoyo Técnico</x:t>
        </x:is>
      </x:c>
      <x:c r="H64" s="8" t="inlineStr">
        <x:is>
          <x:t xml:space="preserve">Profesional Asistente</x:t>
        </x:is>
      </x:c>
    </x:row>
    <x:row r="65">
      <x:c r="A65" s="5" t="n">
        <x:v>61</x:v>
      </x:c>
      <x:c r="B65" s="6" t="inlineStr">
        <x:is>
          <x:t xml:space="preserve">BELTRAMONE, NATALIA</x:t>
        </x:is>
      </x:c>
      <x:c r="C65" s="6" t="inlineStr">
        <x:is>
          <x:t xml:space="preserve">Personal de Apoyo CONICET</x:t>
        </x:is>
      </x:c>
      <x:c r="D65" s="6" t="inlineStr">
        <x:is>
          <x:t xml:space="preserve">Personal de Apoyo</x:t>
        </x:is>
      </x:c>
      <x:c r="E65" s="5" t="inlineStr">
        <x:is>
          <x:t xml:space="preserve">CONICET</x:t>
        </x:is>
      </x:c>
      <x:c r="F65" s="6" t="inlineStr">
        <x:is>
          <x:t xml:space="preserve">TECNICO PRINCIPAL</x:t>
        </x:is>
      </x:c>
      <x:c r="G65" s="6" t="inlineStr">
        <x:is>
          <x:t xml:space="preserve">Servicios / Apoyo Técnico</x:t>
        </x:is>
      </x:c>
      <x:c r="H65" s="6" t="inlineStr">
        <x:is>
          <x:t xml:space="preserve">Técnico Principal</x:t>
        </x:is>
      </x:c>
    </x:row>
    <x:row r="66">
      <x:c r="A66" s="7" t="n">
        <x:v>62</x:v>
      </x:c>
      <x:c r="B66" s="8" t="inlineStr">
        <x:is>
          <x:t xml:space="preserve">LA IACONA, GERMAN NICOLAS</x:t>
        </x:is>
      </x:c>
      <x:c r="C66" s="8" t="inlineStr">
        <x:is>
          <x:t xml:space="preserve">Personal de Apoyo CONICET</x:t>
        </x:is>
      </x:c>
      <x:c r="D66" s="8" t="inlineStr">
        <x:is>
          <x:t xml:space="preserve">Personal de Apoyo</x:t>
        </x:is>
      </x:c>
      <x:c r="E66" s="7" t="inlineStr">
        <x:is>
          <x:t xml:space="preserve">CONICET</x:t>
        </x:is>
      </x:c>
      <x:c r="F66" s="8" t="inlineStr">
        <x:is>
          <x:t xml:space="preserve">TECNICO PRINCIPAL</x:t>
        </x:is>
      </x:c>
      <x:c r="G66" s="8" t="inlineStr">
        <x:is>
          <x:t xml:space="preserve">Servicios / Apoyo Técnico</x:t>
        </x:is>
      </x:c>
      <x:c r="H66" s="8" t="inlineStr">
        <x:is>
          <x:t xml:space="preserve">Técnico Principal</x:t>
        </x:is>
      </x:c>
    </x:row>
    <x:row r="67">
      <x:c r="A67" s="5" t="n">
        <x:v>63</x:v>
      </x:c>
      <x:c r="B67" s="6" t="inlineStr">
        <x:is>
          <x:t xml:space="preserve">RISSO, VERÓNICA BELEN</x:t>
        </x:is>
      </x:c>
      <x:c r="C67" s="6" t="inlineStr">
        <x:is>
          <x:t xml:space="preserve">Personal de Apoyo CONICET</x:t>
        </x:is>
      </x:c>
      <x:c r="D67" s="6" t="inlineStr">
        <x:is>
          <x:t xml:space="preserve">Personal de Apoyo</x:t>
        </x:is>
      </x:c>
      <x:c r="E67" s="5" t="inlineStr">
        <x:is>
          <x:t xml:space="preserve">CONICET</x:t>
        </x:is>
      </x:c>
      <x:c r="F67" s="6" t="inlineStr">
        <x:is>
          <x:t xml:space="preserve">TECNICO PRINCIPAL</x:t>
        </x:is>
      </x:c>
      <x:c r="G67" s="6" t="inlineStr">
        <x:is>
          <x:t xml:space="preserve">Servicios / Apoyo Técnico</x:t>
        </x:is>
      </x:c>
      <x:c r="H67" s="6" t="inlineStr">
        <x:is>
          <x:t xml:space="preserve">Técnico Principal</x:t>
        </x:is>
      </x:c>
    </x:row>
    <x:row r="68">
      <x:c r="A68" s="7" t="n">
        <x:v>64</x:v>
      </x:c>
      <x:c r="B68" s="8" t="inlineStr">
        <x:is>
          <x:t xml:space="preserve">LÓPEZ DÍAZ, ANALÍA VALERIA</x:t>
        </x:is>
      </x:c>
      <x:c r="C68" s="8" t="inlineStr">
        <x:is>
          <x:t xml:space="preserve">Personal de Apoyo CONICET</x:t>
        </x:is>
      </x:c>
      <x:c r="D68" s="8" t="inlineStr">
        <x:is>
          <x:t xml:space="preserve">Personal de Apoyo</x:t>
        </x:is>
      </x:c>
      <x:c r="E68" s="7" t="inlineStr">
        <x:is>
          <x:t xml:space="preserve">CONICET</x:t>
        </x:is>
      </x:c>
      <x:c r="F68" s="8" t="inlineStr">
        <x:is>
          <x:t xml:space="preserve">TECNICO ASOCIADO</x:t>
        </x:is>
      </x:c>
      <x:c r="G68" s="8" t="inlineStr">
        <x:is>
          <x:t xml:space="preserve">Servicios / Apoyo Técnico</x:t>
        </x:is>
      </x:c>
      <x:c r="H68" s="8" t="inlineStr">
        <x:is>
          <x:t xml:space="preserve">Técnico Asociado</x:t>
        </x:is>
      </x:c>
    </x:row>
    <x:row r="69">
      <x:c r="A69" s="5" t="n">
        <x:v>65</x:v>
      </x:c>
      <x:c r="B69" s="6" t="inlineStr">
        <x:is>
          <x:t xml:space="preserve">GARBINI, LUCÍA MARÍA</x:t>
        </x:is>
      </x:c>
      <x:c r="C69" s="6" t="inlineStr">
        <x:is>
          <x:t xml:space="preserve">Personal de Apoyo CONICET</x:t>
        </x:is>
      </x:c>
      <x:c r="D69" s="6" t="inlineStr">
        <x:is>
          <x:t xml:space="preserve">Personal de Apoyo</x:t>
        </x:is>
      </x:c>
      <x:c r="E69" s="5" t="inlineStr">
        <x:is>
          <x:t xml:space="preserve">CONICET</x:t>
        </x:is>
      </x:c>
      <x:c r="F69" s="6" t="inlineStr">
        <x:is>
          <x:t xml:space="preserve">TECNICO ASISTENTE</x:t>
        </x:is>
      </x:c>
      <x:c r="G69" s="6" t="inlineStr">
        <x:is>
          <x:t xml:space="preserve">Servicios / Apoyo Técnico</x:t>
        </x:is>
      </x:c>
      <x:c r="H69" s="6" t="inlineStr">
        <x:is>
          <x:t xml:space="preserve">Técnico Asistente</x:t>
        </x:is>
      </x:c>
    </x:row>
    <x:row r="70">
      <x:c r="A70" s="7" t="n">
        <x:v>66</x:v>
      </x:c>
      <x:c r="B70" s="8" t="inlineStr">
        <x:is>
          <x:t xml:space="preserve">PRESTA, AGOSTINA</x:t>
        </x:is>
      </x:c>
      <x:c r="C70" s="8" t="inlineStr">
        <x:is>
          <x:t xml:space="preserve">Personal de Apoyo CONICET</x:t>
        </x:is>
      </x:c>
      <x:c r="D70" s="8" t="inlineStr">
        <x:is>
          <x:t xml:space="preserve">Personal de Apoyo</x:t>
        </x:is>
      </x:c>
      <x:c r="E70" s="7" t="inlineStr">
        <x:is>
          <x:t xml:space="preserve">CONICET</x:t>
        </x:is>
      </x:c>
      <x:c r="F70" s="8" t="inlineStr">
        <x:is>
          <x:t xml:space="preserve">TECNICO ASISTENTE</x:t>
        </x:is>
      </x:c>
      <x:c r="G70" s="8" t="inlineStr">
        <x:is>
          <x:t xml:space="preserve">Servicios / Apoyo Técnico</x:t>
        </x:is>
      </x:c>
      <x:c r="H70" s="8" t="inlineStr">
        <x:is>
          <x:t xml:space="preserve">Técnico Asistente</x:t>
        </x:is>
      </x:c>
    </x:row>
    <x:row r="71">
      <x:c r="A71" s="5" t="n">
        <x:v>67</x:v>
      </x:c>
      <x:c r="B71" s="6" t="inlineStr">
        <x:is>
          <x:t xml:space="preserve">CEDEÑO VITERI, WILLIAM JORDI</x:t>
        </x:is>
      </x:c>
      <x:c r="C71" s="6" t="inlineStr">
        <x:is>
          <x:t xml:space="preserve">Personal No CONICET</x:t>
        </x:is>
      </x:c>
      <x:c r="D71" s="6" t="inlineStr">
        <x:is>
          <x:t xml:space="preserve">Becario</x:t>
        </x:is>
      </x:c>
      <x:c r="E71" s="5" t="inlineStr">
        <x:is>
          <x:t xml:space="preserve">NO CONICET</x:t>
        </x:is>
      </x:c>
      <x:c r="F71" s="6" t="inlineStr">
        <x:is>
          <x:t xml:space="preserve">Becario</x:t>
        </x:is>
      </x:c>
      <x:c r="G71" s="6" t="inlineStr">
        <x:is>
          <x:t xml:space="preserve">Grupo de Neurociencia de Sistemas</x:t>
        </x:is>
      </x:c>
      <x:c r="H71" s="6" t="inlineStr">
        <x:is>
          <x:t xml:space="preserve">Neurociencias</x:t>
        </x:is>
      </x:c>
    </x:row>
    <x:row r="72">
      <x:c r="A72" s="7" t="n">
        <x:v>68</x:v>
      </x:c>
      <x:c r="B72" s="8" t="inlineStr">
        <x:is>
          <x:t xml:space="preserve">FARES TAIE, FELIX</x:t>
        </x:is>
      </x:c>
      <x:c r="C72" s="8" t="inlineStr">
        <x:is>
          <x:t xml:space="preserve">Personal No CONICET</x:t>
        </x:is>
      </x:c>
      <x:c r="D72" s="8" t="inlineStr">
        <x:is>
          <x:t xml:space="preserve">Becario</x:t>
        </x:is>
      </x:c>
      <x:c r="E72" s="7" t="inlineStr">
        <x:is>
          <x:t xml:space="preserve">NO CONICET</x:t>
        </x:is>
      </x:c>
      <x:c r="F72" s="8" t="inlineStr">
        <x:is>
          <x:t xml:space="preserve">Becario</x:t>
        </x:is>
      </x:c>
      <x:c r="G72" s="8" t="inlineStr">
        <x:is>
          <x:t xml:space="preserve">Grupo de Neurociencia de Sistemas</x:t>
        </x:is>
      </x:c>
      <x:c r="H72" s="8" t="inlineStr">
        <x:is>
          <x:t xml:space="preserve">Neurociencias</x:t>
        </x:is>
      </x:c>
    </x:row>
    <x:row r="73">
      <x:c r="A73" s="5" t="n">
        <x:v>69</x:v>
      </x:c>
      <x:c r="B73" s="6" t="inlineStr">
        <x:is>
          <x:t xml:space="preserve">FOTTI, JAVIER HERNÁN</x:t>
        </x:is>
      </x:c>
      <x:c r="C73" s="6" t="inlineStr">
        <x:is>
          <x:t xml:space="preserve">Personal No CONICET</x:t>
        </x:is>
      </x:c>
      <x:c r="D73" s="6" t="inlineStr">
        <x:is>
          <x:t xml:space="preserve">Becario</x:t>
        </x:is>
      </x:c>
      <x:c r="E73" s="5" t="inlineStr">
        <x:is>
          <x:t xml:space="preserve">NO CONICET</x:t>
        </x:is>
      </x:c>
      <x:c r="F73" s="6" t="inlineStr">
        <x:is>
          <x:t xml:space="preserve">Becario</x:t>
        </x:is>
      </x:c>
      <x:c r="G73" s="6" t="inlineStr">
        <x:is>
          <x:t xml:space="preserve">Grupo de Neurociencia de Sistemas</x:t>
        </x:is>
      </x:c>
      <x:c r="H73" s="6" t="inlineStr">
        <x:is>
          <x:t xml:space="preserve">Formación de Redes Neurales</x:t>
        </x:is>
      </x:c>
    </x:row>
    <x:row r="74">
      <x:c r="A74" s="7" t="n">
        <x:v>70</x:v>
      </x:c>
      <x:c r="B74" s="8" t="inlineStr">
        <x:is>
          <x:t xml:space="preserve">LAZARO, LUIS</x:t>
        </x:is>
      </x:c>
      <x:c r="C74" s="8" t="inlineStr">
        <x:is>
          <x:t xml:space="preserve">Personal No CONICET</x:t>
        </x:is>
      </x:c>
      <x:c r="D74" s="8" t="inlineStr">
        <x:is>
          <x:t xml:space="preserve">Becario</x:t>
        </x:is>
      </x:c>
      <x:c r="E74" s="7" t="inlineStr">
        <x:is>
          <x:t xml:space="preserve">NO CONICET</x:t>
        </x:is>
      </x:c>
      <x:c r="F74" s="8" t="inlineStr">
        <x:is>
          <x:t xml:space="preserve">Becario</x:t>
        </x:is>
      </x:c>
      <x:c r="G74" s="8" t="inlineStr">
        <x:is>
          <x:t xml:space="preserve">Grupo de Neurociencia de Sistemas</x:t>
        </x:is>
      </x:c>
      <x:c r="H74" s="8" t="inlineStr">
        <x:is>
          <x:t xml:space="preserve">Neurociencias</x:t>
        </x:is>
      </x:c>
    </x:row>
    <x:row r="75">
      <x:c r="A75" s="5" t="n">
        <x:v>71</x:v>
      </x:c>
      <x:c r="B75" s="6" t="inlineStr">
        <x:is>
          <x:t xml:space="preserve">OCHOA, FEDERICO CLAUDIO</x:t>
        </x:is>
      </x:c>
      <x:c r="C75" s="6" t="inlineStr">
        <x:is>
          <x:t xml:space="preserve">Personal No CONICET</x:t>
        </x:is>
      </x:c>
      <x:c r="D75" s="6" t="inlineStr">
        <x:is>
          <x:t xml:space="preserve">Investigador</x:t>
        </x:is>
      </x:c>
      <x:c r="E75" s="5" t="inlineStr">
        <x:is>
          <x:t xml:space="preserve">NO CONICET</x:t>
        </x:is>
      </x:c>
      <x:c r="F75" s="6" t="inlineStr">
        <x:is>
          <x:t xml:space="preserve">Investigador</x:t>
        </x:is>
      </x:c>
      <x:c r="G75" s="6" t="inlineStr">
        <x:is>
          <x:t xml:space="preserve">Laboratorio de Fisiopatogenia</x:t>
        </x:is>
      </x:c>
      <x:c r="H75" s="6" t="inlineStr">
        <x:is>
          <x:t xml:space="preserve">Mecanismos del SUH</x:t>
        </x:is>
      </x:c>
    </x:row>
    <x:row r="76">
      <x:c r="A76" s="7" t="n">
        <x:v>72</x:v>
      </x:c>
      <x:c r="B76" s="8" t="inlineStr">
        <x:is>
          <x:t xml:space="preserve">POLOTTO, CAMILA MARÍA</x:t>
        </x:is>
      </x:c>
      <x:c r="C76" s="8" t="inlineStr">
        <x:is>
          <x:t xml:space="preserve">Personal No CONICET</x:t>
        </x:is>
      </x:c>
      <x:c r="D76" s="8" t="inlineStr">
        <x:is>
          <x:t xml:space="preserve">Becario</x:t>
        </x:is>
      </x:c>
      <x:c r="E76" s="7" t="inlineStr">
        <x:is>
          <x:t xml:space="preserve">NO CONICET</x:t>
        </x:is>
      </x:c>
      <x:c r="F76" s="8" t="inlineStr">
        <x:is>
          <x:t xml:space="preserve">Becario</x:t>
        </x:is>
      </x:c>
      <x:c r="G76" s="8" t="inlineStr">
        <x:is>
          <x:t xml:space="preserve">Grupo de Neurociencia de Sistemas</x:t>
        </x:is>
      </x:c>
      <x:c r="H76" s="8" t="inlineStr">
        <x:is>
          <x:t xml:space="preserve">Neurociencias</x:t>
        </x:is>
      </x:c>
    </x:row>
    <x:row r="77">
      <x:c r="A77" s="5" t="n">
        <x:v>73</x:v>
      </x:c>
      <x:c r="B77" s="6" t="inlineStr">
        <x:is>
          <x:t xml:space="preserve">SANCHEZ ARMIJOS, KIANNY MIROSLAVA</x:t>
        </x:is>
      </x:c>
      <x:c r="C77" s="6" t="inlineStr">
        <x:is>
          <x:t xml:space="preserve">Personal No CONICET</x:t>
        </x:is>
      </x:c>
      <x:c r="D77" s="6" t="inlineStr">
        <x:is>
          <x:t xml:space="preserve">Becario</x:t>
        </x:is>
      </x:c>
      <x:c r="E77" s="5" t="inlineStr">
        <x:is>
          <x:t xml:space="preserve">NO CONICET</x:t>
        </x:is>
      </x:c>
      <x:c r="F77" s="6" t="inlineStr">
        <x:is>
          <x:t xml:space="preserve">Becario</x:t>
        </x:is>
      </x:c>
      <x:c r="G77" s="6" t="inlineStr">
        <x:is>
          <x:t xml:space="preserve">Grupo de Neurociencia de Sistemas</x:t>
        </x:is>
      </x:c>
      <x:c r="H77" s="6" t="inlineStr">
        <x:is>
          <x:t xml:space="preserve">Neurociencias</x:t>
        </x:is>
      </x:c>
    </x:row>
    <x:row r="78">
      <x:c r="A78" s="7" t="n">
        <x:v>74</x:v>
      </x:c>
      <x:c r="B78" s="8" t="inlineStr">
        <x:is>
          <x:t xml:space="preserve">SILBERSTEIN, CLAUDIA MARCELA</x:t>
        </x:is>
      </x:c>
      <x:c r="C78" s="8" t="inlineStr">
        <x:is>
          <x:t xml:space="preserve">Personal No CONICET</x:t>
        </x:is>
      </x:c>
      <x:c r="D78" s="8" t="inlineStr">
        <x:is>
          <x:t xml:space="preserve">Investigador</x:t>
        </x:is>
      </x:c>
      <x:c r="E78" s="7" t="inlineStr">
        <x:is>
          <x:t xml:space="preserve">NO CONICET</x:t>
        </x:is>
      </x:c>
      <x:c r="F78" s="8" t="inlineStr">
        <x:is>
          <x:t xml:space="preserve">Investigador</x:t>
        </x:is>
      </x:c>
      <x:c r="G78" s="8" t="inlineStr">
        <x:is>
          <x:t xml:space="preserve">Laboratorio de Fisiología Renal</x:t>
        </x:is>
      </x:c>
      <x:c r="H78" s="8" t="inlineStr">
        <x:is>
          <x:t xml:space="preserve">Directora Lab. Fisiología Renal</x:t>
        </x:is>
      </x:c>
    </x:row>
    <x:row r="79">
      <x:c r="A79" s="5" t="n">
        <x:v>75</x:v>
      </x:c>
      <x:c r="B79" s="6" t="inlineStr">
        <x:is>
          <x:t xml:space="preserve">VASSALLU, MARÍA FLORENCIA</x:t>
        </x:is>
      </x:c>
      <x:c r="C79" s="6" t="inlineStr">
        <x:is>
          <x:t xml:space="preserve">Personal No CONICET</x:t>
        </x:is>
      </x:c>
      <x:c r="D79" s="6" t="inlineStr">
        <x:is>
          <x:t xml:space="preserve">Becario</x:t>
        </x:is>
      </x:c>
      <x:c r="E79" s="5" t="inlineStr">
        <x:is>
          <x:t xml:space="preserve">NO CONICET</x:t>
        </x:is>
      </x:c>
      <x:c r="F79" s="6" t="inlineStr">
        <x:is>
          <x:t xml:space="preserve">Becario</x:t>
        </x:is>
      </x:c>
      <x:c r="G79" s="6" t="inlineStr">
        <x:is>
          <x:t xml:space="preserve">Grupo de Neurociencia de Sistemas</x:t>
        </x:is>
      </x:c>
      <x:c r="H79" s="6" t="inlineStr">
        <x:is>
          <x:t xml:space="preserve">Neurociencias</x:t>
        </x:is>
      </x:c>
    </x:row>
    <x:row r="80">
      <x:c r="A80" s="7" t="n">
        <x:v>76</x:v>
      </x:c>
      <x:c r="B80" s="8" t="inlineStr">
        <x:is>
          <x:t xml:space="preserve">ZOTTA, ELSA</x:t>
        </x:is>
      </x:c>
      <x:c r="C80" s="8" t="inlineStr">
        <x:is>
          <x:t xml:space="preserve">Personal No CONICET</x:t>
        </x:is>
      </x:c>
      <x:c r="D80" s="8" t="inlineStr">
        <x:is>
          <x:t xml:space="preserve">Investigador</x:t>
        </x:is>
      </x:c>
      <x:c r="E80" s="7" t="inlineStr">
        <x:is>
          <x:t xml:space="preserve">NO CONICET</x:t>
        </x:is>
      </x:c>
      <x:c r="F80" s="8" t="inlineStr">
        <x:is>
          <x:t xml:space="preserve">Investigador</x:t>
        </x:is>
      </x:c>
      <x:c r="G80" s="8" t="inlineStr">
        <x:is>
          <x:t xml:space="preserve">Laboratorio de Fisiopatogenia</x:t>
        </x:is>
      </x:c>
      <x:c r="H80" s="8" t="inlineStr">
        <x:is>
          <x:t xml:space="preserve">Mecanismos del SUH</x:t>
        </x:is>
      </x:c>
    </x:row>
    <x:row r="81">
      <x:c r="A81" s="5" t="n">
        <x:v>77</x:v>
      </x:c>
      <x:c r="B81" s="6" t="inlineStr">
        <x:is>
          <x:t xml:space="preserve">COSTANZO, MARIA LUJAN</x:t>
        </x:is>
      </x:c>
      <x:c r="C81" s="6" t="inlineStr">
        <x:is>
          <x:t xml:space="preserve">Personal de Gestión CONICET</x:t>
        </x:is>
      </x:c>
      <x:c r="D81" s="6" t="inlineStr">
        <x:is>
          <x:t xml:space="preserve">Personal de Gestión</x:t>
        </x:is>
      </x:c>
      <x:c r="E81" s="5" t="inlineStr">
        <x:is>
          <x:t xml:space="preserve">CONICET</x:t>
        </x:is>
      </x:c>
      <x:c r="F81" s="6" t="inlineStr">
        <x:is>
          <x:t xml:space="preserve">GRAL. CONT. ART9C06</x:t>
        </x:is>
      </x:c>
      <x:c r="G81" s="6" t="inlineStr">
        <x:is>
          <x:t xml:space="preserve">Gestión y Administración</x:t>
        </x:is>
      </x:c>
      <x:c r="H81" s="6" t="inlineStr">
        <x:is>
          <x:t xml:space="preserve">Personal de Gestión</x:t>
        </x:is>
      </x:c>
    </x:row>
    <x:row r="82">
      <x:c r="A82" s="7" t="n">
        <x:v>78</x:v>
      </x:c>
      <x:c r="B82" s="8" t="inlineStr">
        <x:is>
          <x:t xml:space="preserve">MAMANI, ANA ELIZABETH</x:t>
        </x:is>
      </x:c>
      <x:c r="C82" s="8" t="inlineStr">
        <x:is>
          <x:t xml:space="preserve">Personal de Gestión CONICET</x:t>
        </x:is>
      </x:c>
      <x:c r="D82" s="8" t="inlineStr">
        <x:is>
          <x:t xml:space="preserve">Personal de Gestión</x:t>
        </x:is>
      </x:c>
      <x:c r="E82" s="7" t="inlineStr">
        <x:is>
          <x:t xml:space="preserve">CONICET</x:t>
        </x:is>
      </x:c>
      <x:c r="F82" s="8" t="inlineStr">
        <x:is>
          <x:t xml:space="preserve">GRAL. CONT. ART9C05</x:t>
        </x:is>
      </x:c>
      <x:c r="G82" s="8" t="inlineStr">
        <x:is>
          <x:t xml:space="preserve">Gestión y Administración</x:t>
        </x:is>
      </x:c>
      <x:c r="H82" s="8" t="inlineStr">
        <x:is>
          <x:t xml:space="preserve">Personal de Gestión</x:t>
        </x:is>
      </x:c>
    </x:row>
    <x:row r="83">
      <x:c r="A83" s="5" t="n">
        <x:v>79</x:v>
      </x:c>
      <x:c r="B83" s="6" t="inlineStr">
        <x:is>
          <x:t xml:space="preserve">DELLA MAGGIORE, VALERIA</x:t>
        </x:is>
      </x:c>
      <x:c r="C83" s="6" t="inlineStr">
        <x:is>
          <x:t xml:space="preserve">Integrantes Sitio Web</x:t>
        </x:is>
      </x:c>
      <x:c r="D83" s="6" t="inlineStr">
        <x:is>
          <x:t xml:space="preserve">Investigador / IR</x:t>
        </x:is>
      </x:c>
      <x:c r="E83" s="5" t="inlineStr">
        <x:is>
          <x:t xml:space="preserve">IFIBIO / CONICET</x:t>
        </x:is>
      </x:c>
      <x:c r="F83" s="6" t="inlineStr">
        <x:is>
          <x:t xml:space="preserve">Investigadora Principal</x:t>
        </x:is>
      </x:c>
      <x:c r="G83" s="6" t="inlineStr">
        <x:is>
          <x:t xml:space="preserve">Grupo de Neurociencia de Sistemas</x:t>
        </x:is>
      </x:c>
      <x:c r="H83" s="6" t="inlineStr">
        <x:is>
          <x:t xml:space="preserve">Fisiología de la Acción</x:t>
        </x:is>
      </x:c>
    </x:row>
    <x:row r="84">
      <x:c r="A84" s="7" t="n">
        <x:v>80</x:v>
      </x:c>
      <x:c r="B84" s="8" t="inlineStr">
        <x:is>
          <x:t xml:space="preserve">BELLUSCIO, MARIANO ANDRES</x:t>
        </x:is>
      </x:c>
      <x:c r="C84" s="8" t="inlineStr">
        <x:is>
          <x:t xml:space="preserve">Integrantes Sitio Web</x:t>
        </x:is>
      </x:c>
      <x:c r="D84" s="8" t="inlineStr">
        <x:is>
          <x:t xml:space="preserve">Investigador / IR</x:t>
        </x:is>
      </x:c>
      <x:c r="E84" s="7" t="inlineStr">
        <x:is>
          <x:t xml:space="preserve">IFIBIO / CONICET</x:t>
        </x:is>
      </x:c>
      <x:c r="F84" s="8" t="inlineStr">
        <x:is>
          <x:t xml:space="preserve">Investigador Adjunto</x:t>
        </x:is>
      </x:c>
      <x:c r="G84" s="8" t="inlineStr">
        <x:is>
          <x:t xml:space="preserve">Grupo de Neurociencia de Sistemas</x:t>
        </x:is>
      </x:c>
      <x:c r="H84" s="8" t="inlineStr">
        <x:is>
          <x:t xml:space="preserve">Bases Neuronales del Comportamiento</x:t>
        </x:is>
      </x:c>
    </x:row>
    <x:row r="85">
      <x:c r="A85" s="5" t="n">
        <x:v>81</x:v>
      </x:c>
      <x:c r="B85" s="6" t="inlineStr">
        <x:is>
          <x:t xml:space="preserve">RICHAUDEAU, ALBA</x:t>
        </x:is>
      </x:c>
      <x:c r="C85" s="6" t="inlineStr">
        <x:is>
          <x:t xml:space="preserve">Integrantes Sitio Web</x:t>
        </x:is>
      </x:c>
      <x:c r="D85" s="6" t="inlineStr">
        <x:is>
          <x:t xml:space="preserve">Investigador / IR</x:t>
        </x:is>
      </x:c>
      <x:c r="E85" s="5" t="inlineStr">
        <x:is>
          <x:t xml:space="preserve">IFIBIO / UBA</x:t>
        </x:is>
      </x:c>
      <x:c r="F85" s="6" t="inlineStr">
        <x:is>
          <x:t xml:space="preserve">Investigadora</x:t>
        </x:is>
      </x:c>
      <x:c r="G85" s="6" t="inlineStr">
        <x:is>
          <x:t xml:space="preserve">Grupo de Neuropsicología del Neurodesarrollo</x:t>
        </x:is>
      </x:c>
      <x:c r="H85" s="6" t="inlineStr">
        <x:is>
          <x:t xml:space="preserve">Enfermedades Poco Frecuentes</x:t>
        </x:is>
      </x:c>
    </x:row>
    <x:row r="86">
      <x:c r="A86" s="7" t="n">
        <x:v>82</x:v>
      </x:c>
      <x:c r="B86" s="8" t="inlineStr">
        <x:is>
          <x:t xml:space="preserve">GONZÁLEZ SANABRIA, JAVIER A</x:t>
        </x:is>
      </x:c>
      <x:c r="C86" s="8" t="inlineStr">
        <x:is>
          <x:t xml:space="preserve">Integrantes Sitio Web</x:t>
        </x:is>
      </x:c>
      <x:c r="D86" s="8" t="inlineStr">
        <x:is>
          <x:t xml:space="preserve">Integrante / Colaborador</x:t>
        </x:is>
      </x:c>
      <x:c r="E86" s="7" t="inlineStr">
        <x:is>
          <x:t xml:space="preserve">IFIBIO</x:t>
        </x:is>
      </x:c>
      <x:c r="F86" s="8" t="inlineStr">
        <x:is>
          <x:t xml:space="preserve">Colaborador</x:t>
        </x:is>
      </x:c>
      <x:c r="G86" s="8" t="inlineStr">
        <x:is>
          <x:t xml:space="preserve">Grupo de Neurociencia de Sistemas</x:t>
        </x:is>
      </x:c>
      <x:c r="H86" s="8" t="inlineStr">
        <x:is>
          <x:t xml:space="preserve">Neurociencias</x:t>
        </x:is>
      </x:c>
    </x:row>
    <x:row r="87">
      <x:c r="A87" s="5" t="n">
        <x:v>83</x:v>
      </x:c>
      <x:c r="B87" s="6" t="inlineStr">
        <x:is>
          <x:t xml:space="preserve">PRETELL ANNAN, CARLOS ALFREDO</x:t>
        </x:is>
      </x:c>
      <x:c r="C87" s="6" t="inlineStr">
        <x:is>
          <x:t xml:space="preserve">Integrantes Sitio Web</x:t>
        </x:is>
      </x:c>
      <x:c r="D87" s="6" t="inlineStr">
        <x:is>
          <x:t xml:space="preserve">Integrante / Colaborador</x:t>
        </x:is>
      </x:c>
      <x:c r="E87" s="5" t="inlineStr">
        <x:is>
          <x:t xml:space="preserve">IFIBIO</x:t>
        </x:is>
      </x:c>
      <x:c r="F87" s="6" t="inlineStr">
        <x:is>
          <x:t xml:space="preserve">Colaborador</x:t>
        </x:is>
      </x:c>
      <x:c r="G87" s="6" t="inlineStr">
        <x:is>
          <x:t xml:space="preserve">Grupo de Neurociencia de Sistemas</x:t>
        </x:is>
      </x:c>
      <x:c r="H87" s="6" t="inlineStr">
        <x:is>
          <x:t xml:space="preserve">Neurociencias</x:t>
        </x:is>
      </x:c>
    </x:row>
    <x:row r="88">
      <x:c r="A88" s="7" t="n">
        <x:v>84</x:v>
      </x:c>
      <x:c r="B88" s="8" t="inlineStr">
        <x:is>
          <x:t xml:space="preserve">FISCHER SIGEL, LILIAN KARINA</x:t>
        </x:is>
      </x:c>
      <x:c r="C88" s="8" t="inlineStr">
        <x:is>
          <x:t xml:space="preserve">Integrantes Sitio Web</x:t>
        </x:is>
      </x:c>
      <x:c r="D88" s="8" t="inlineStr">
        <x:is>
          <x:t xml:space="preserve">Integrante / Colaborador</x:t>
        </x:is>
      </x:c>
      <x:c r="E88" s="7" t="inlineStr">
        <x:is>
          <x:t xml:space="preserve">IFIBIO</x:t>
        </x:is>
      </x:c>
      <x:c r="F88" s="8" t="inlineStr">
        <x:is>
          <x:t xml:space="preserve">Colaboradora</x:t>
        </x:is>
      </x:c>
      <x:c r="G88" s="8" t="inlineStr">
        <x:is>
          <x:t xml:space="preserve">Laboratorio de Biomembranas</x:t>
        </x:is>
      </x:c>
      <x:c r="H88" s="8" t="inlineStr">
        <x:is>
          <x:t xml:space="preserve">Biofísica de Aquaporinas</x:t>
        </x:is>
      </x:c>
    </x:row>
    <x:row r="89">
      <x:c r="A89" s="5" t="n">
        <x:v>85</x:v>
      </x:c>
      <x:c r="B89" s="6" t="inlineStr">
        <x:is>
          <x:t xml:space="preserve">ILARRAZ, CONSTANZA</x:t>
        </x:is>
      </x:c>
      <x:c r="C89" s="6" t="inlineStr">
        <x:is>
          <x:t xml:space="preserve">Integrantes Sitio Web</x:t>
        </x:is>
      </x:c>
      <x:c r="D89" s="6" t="inlineStr">
        <x:is>
          <x:t xml:space="preserve">Integrante / Colaborador</x:t>
        </x:is>
      </x:c>
      <x:c r="E89" s="5" t="inlineStr">
        <x:is>
          <x:t xml:space="preserve">IFIBIO</x:t>
        </x:is>
      </x:c>
      <x:c r="F89" s="6" t="inlineStr">
        <x:is>
          <x:t xml:space="preserve">Colaboradora</x:t>
        </x:is>
      </x:c>
      <x:c r="G89" s="6" t="inlineStr">
        <x:is>
          <x:t xml:space="preserve">Grupo de Neurociencia de Sistemas</x:t>
        </x:is>
      </x:c>
      <x:c r="H89" s="6" t="inlineStr">
        <x:is>
          <x:t xml:space="preserve">Neurociencias</x:t>
        </x:is>
      </x:c>
    </x:row>
    <x:row r="90">
      <x:c r="A90" s="7" t="n">
        <x:v>86</x:v>
      </x:c>
      <x:c r="B90" s="8" t="inlineStr">
        <x:is>
          <x:t xml:space="preserve">BAGLIANI, MARÍA CAMILA</x:t>
        </x:is>
      </x:c>
      <x:c r="C90" s="8" t="inlineStr">
        <x:is>
          <x:t xml:space="preserve">Integrantes Sitio Web</x:t>
        </x:is>
      </x:c>
      <x:c r="D90" s="8" t="inlineStr">
        <x:is>
          <x:t xml:space="preserve">Integrante / Colaborador</x:t>
        </x:is>
      </x:c>
      <x:c r="E90" s="7" t="inlineStr">
        <x:is>
          <x:t xml:space="preserve">IFIBIO</x:t>
        </x:is>
      </x:c>
      <x:c r="F90" s="8" t="inlineStr">
        <x:is>
          <x:t xml:space="preserve">Colaboradora</x:t>
        </x:is>
      </x:c>
      <x:c r="G90" s="8" t="inlineStr">
        <x:is>
          <x:t xml:space="preserve">Grupo de Neurociencia de Sistemas</x:t>
        </x:is>
      </x:c>
      <x:c r="H90" s="8" t="inlineStr">
        <x:is>
          <x:t xml:space="preserve">Neurociencias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5A5A5"/>
  </x:sheetPr>
  <x:sheetViews>
    <x:sheetView showGridLines="1" workbookViewId="0"/>
  </x:sheetViews>
  <x:sheetFormatPr baseColWidth="8" defaultRowHeight="15"/>
  <x:cols>
    <x:col min="1" max="1" width="49" customWidth="1"/>
    <x:col min="2" max="2" width="36" customWidth="1"/>
  </x:cols>
  <x:sheetData>
    <x:row r="1">
      <x:c r="A1" s="1" t="inlineStr">
        <x:is>
          <x:t xml:space="preserve">DISTRIBUCIÓN DEL PERSONAL POR LABORATORIO / GRUPO DE INVESTIGACIÓN</x:t>
        </x:is>
      </x:c>
    </x:row>
    <x:row r="2">
      <x:c r="A2" s="2" t="inlineStr">
        <x:is>
          <x:t xml:space="preserve">IFIBIO HOUSSAY - Mapeo Cruzado Memoria 2025 &amp; Web Oficial</x:t>
        </x:is>
      </x:c>
    </x:row>
    <x:row r="3"/>
    <x:row r="4">
      <x:c r="A4" s="4" t="inlineStr">
        <x:is>
          <x:t xml:space="preserve">Laboratorio / Grupo de Investigación</x:t>
        </x:is>
      </x:c>
      <x:c r="B4" s="3" t="inlineStr">
        <x:is>
          <x:t xml:space="preserve">Cantidad de Integrantes Mapeados</x:t>
        </x:is>
      </x:c>
    </x:row>
    <x:row r="5">
      <x:c r="A5" s="9" t="inlineStr">
        <x:is>
          <x:t xml:space="preserve">Grupo de Neurociencia de Sistemas</x:t>
        </x:is>
      </x:c>
      <x:c r="B5" s="10" t="n">
        <x:f>COUNTIF('Todos los Integrantes (Web)'!G5:G88, "Grupo de Neurociencia de Sistemas")</x:f>
        <x:v>39</x:v>
      </x:c>
    </x:row>
    <x:row r="6">
      <x:c r="A6" s="11" t="inlineStr">
        <x:is>
          <x:t xml:space="preserve">Laboratorio de Biomembranas</x:t>
        </x:is>
      </x:c>
      <x:c r="B6" s="12" t="n">
        <x:f>COUNTIF('Todos los Integrantes (Web)'!G5:G88, "Laboratorio de Biomembranas")</x:f>
        <x:v>15</x:v>
      </x:c>
    </x:row>
    <x:row r="7">
      <x:c r="A7" s="9" t="inlineStr">
        <x:is>
          <x:t xml:space="preserve">Laboratorio de Fisiopatogenia</x:t>
        </x:is>
      </x:c>
      <x:c r="B7" s="10" t="n">
        <x:f>COUNTIF('Todos los Integrantes (Web)'!G5:G88, "Laboratorio de Fisiopatogenia")</x:f>
        <x:v>11</x:v>
      </x:c>
    </x:row>
    <x:row r="8">
      <x:c r="A8" s="11" t="inlineStr">
        <x:is>
          <x:t xml:space="preserve">Grupo de Pez Cebra</x:t>
        </x:is>
      </x:c>
      <x:c r="B8" s="12" t="n">
        <x:f>COUNTIF('Todos los Integrantes (Web)'!G5:G88, "Grupo de Pez Cebra")</x:f>
        <x:v>2</x:v>
      </x:c>
    </x:row>
    <x:row r="9">
      <x:c r="A9" s="9" t="inlineStr">
        <x:is>
          <x:t xml:space="preserve">Laboratorio de Biología de la Reproducción</x:t>
        </x:is>
      </x:c>
      <x:c r="B9" s="10" t="n">
        <x:f>COUNTIF('Todos los Integrantes (Web)'!G5:G88, "Laboratorio de Biología de la Reproducción")</x:f>
        <x:v>1</x:v>
      </x:c>
    </x:row>
    <x:row r="10">
      <x:c r="A10" s="11" t="inlineStr">
        <x:is>
          <x:t xml:space="preserve">Laboratorio de Fisiología Renal</x:t>
        </x:is>
      </x:c>
      <x:c r="B10" s="12" t="n">
        <x:f>COUNTIF('Todos los Integrantes (Web)'!G5:G88, "Laboratorio de Fisiología Renal")</x:f>
        <x:v>1</x:v>
      </x:c>
    </x:row>
    <x:row r="11">
      <x:c r="A11" s="9" t="inlineStr">
        <x:is>
          <x:t xml:space="preserve">Laboratorio de Neurofisiopatología</x:t>
        </x:is>
      </x:c>
      <x:c r="B11" s="10" t="n">
        <x:f>COUNTIF('Todos los Integrantes (Web)'!G5:G88, "Laboratorio de Neurofisiopatología")</x:f>
        <x:v>1</x:v>
      </x:c>
    </x:row>
    <x:row r="12">
      <x:c r="A12" s="11" t="inlineStr">
        <x:is>
          <x:t xml:space="preserve">Laboratorio Neuropsicología de la Performance</x:t>
        </x:is>
      </x:c>
      <x:c r="B12" s="12" t="n">
        <x:f>COUNTIF('Todos los Integrantes (Web)'!G5:G88, "Laboratorio Neuropsicología de la Performance")</x:f>
        <x:v>1</x:v>
      </x:c>
    </x:row>
    <x:row r="13">
      <x:c r="A13" s="9" t="inlineStr">
        <x:is>
          <x:t xml:space="preserve">Grupo de Neuropsicología del Neurodesarrollo</x:t>
        </x:is>
      </x:c>
      <x:c r="B13" s="10" t="n">
        <x:f>COUNTIF('Todos los Integrantes (Web)'!G5:G88, "Grupo de Neuropsicología del Neurodesarrollo")</x:f>
        <x:v>1</x:v>
      </x:c>
    </x:row>
    <x:row r="14">
      <x:c r="A14" s="11" t="inlineStr">
        <x:is>
          <x:t xml:space="preserve">Servicios / Apoyo Técnico (CPA)</x:t>
        </x:is>
      </x:c>
      <x:c r="B14" s="12" t="n">
        <x:f>COUNTIF('Todos los Integrantes (Web)'!G5:G88, "Servicios / Apoyo Técnico") + COUNTIF('Todos los Integrantes (Web)'!G5:G88, "Personal de Apoyo (CPA)")</x:f>
        <x:v>9</x:v>
      </x:c>
    </x:row>
    <x:row r="15">
      <x:c r="A15" s="9" t="inlineStr">
        <x:is>
          <x:t xml:space="preserve">Gestión y Administración</x:t>
        </x:is>
      </x:c>
      <x:c r="B15" s="10" t="n">
        <x:f>COUNTIF('Todos los Integrantes (Web)'!G5:G88, "Gestión y Administración")</x:f>
        <x:v>2</x:v>
      </x:c>
    </x:row>
    <x:row r="16">
      <x:c r="A16" s="13" t="inlineStr">
        <x:is>
          <x:t xml:space="preserve">TOTAL DE INTEGRANTES MAPEADOS</x:t>
        </x:is>
      </x:c>
      <x:c r="B16" s="14" t="n">
        <x:f>SUM(B5:B15)</x:f>
        <x:v>83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8" hidden="0" customWidth="1"/>
    <x:col min="2" max="2" width="12" hidden="0" customWidth="1"/>
    <x:col min="3" max="3" width="4" hidden="0" customWidth="1"/>
    <x:col min="4" max="4" width="42" hidden="0" customWidth="1"/>
    <x:col min="5" max="5" width="12" hidden="0" customWidth="1"/>
    <x:col min="6" max="6" width="4" hidden="0" customWidth="1"/>
    <x:col min="7" max="7" width="48" hidden="0" customWidth="1"/>
    <x:col min="8" max="8" width="12" hidden="0" customWidth="1"/>
  </x:cols>
  <x:sheetData>
    <x:row r="1" ht="28" customHeight="1">
      <x:c r="A1" s="17" t="str">
        <x:v>Resumen actualizado de integrantes IFIBIO Houssay</x:v>
      </x:c>
    </x:row>
    <x:row r="2">
      <x:c r="A2" s="18" t="str">
        <x:v>Fecha de verificación web: 2026-09-10. Los conteos se basan en la nómina depurada.</x:v>
      </x:c>
    </x:row>
    <x:row r="4" ht="34" customHeight="1">
      <x:c r="A4" s="23" t="str">
        <x:v>Indicador</x:v>
      </x:c>
      <x:c r="B4" s="23" t="str">
        <x:v>Cantidad</x:v>
      </x:c>
      <x:c r="D4" s="23" t="str">
        <x:v>Laboratorio / grupo actual</x:v>
      </x:c>
      <x:c r="E4" s="23" t="str">
        <x:v>Integrantes</x:v>
      </x:c>
      <x:c r="G4" s="23" t="str">
        <x:v>Subgrupo / línea actual</x:v>
      </x:c>
      <x:c r="H4" s="23" t="str">
        <x:v>Integrantes</x:v>
      </x:c>
    </x:row>
    <x:row r="5">
      <x:c r="A5" s="27" t="str">
        <x:v>Filas originales</x:v>
      </x:c>
      <x:c r="B5" s="27" t="n">
        <x:v>86</x:v>
      </x:c>
      <x:c r="D5" s="27" t="str">
        <x:v>Grupo de Neurociencia de Sistemas</x:v>
      </x:c>
      <x:c r="E5" s="27" t="n">
        <x:v>23</x:v>
      </x:c>
      <x:c r="G5" s="27" t="str">
        <x:v>Sin subgrupo publicado</x:v>
      </x:c>
      <x:c r="H5" s="27" t="n">
        <x:v>19</x:v>
      </x:c>
    </x:row>
    <x:row r="6">
      <x:c r="A6" s="27" t="str">
        <x:v>Personas únicas originales</x:v>
      </x:c>
      <x:c r="B6" s="27" t="n">
        <x:v>78</x:v>
      </x:c>
      <x:c r="D6" s="27" t="str">
        <x:v>Laboratorio de Biomembranas</x:v>
      </x:c>
      <x:c r="E6" s="27" t="n">
        <x:v>10</x:v>
      </x:c>
      <x:c r="G6" s="27" t="str">
        <x:v>Fisiología de la Conducta Animal</x:v>
      </x:c>
      <x:c r="H6" s="27" t="n">
        <x:v>5</x:v>
      </x:c>
    </x:row>
    <x:row r="7">
      <x:c r="A7" s="27" t="str">
        <x:v>Personas consolidadas</x:v>
      </x:c>
      <x:c r="B7" s="27" t="n">
        <x:v>97</x:v>
      </x:c>
      <x:c r="D7" s="27" t="str">
        <x:v>Servicios / Apoyo Técnico</x:v>
      </x:c>
      <x:c r="E7" s="27" t="n">
        <x:v>9</x:v>
      </x:c>
      <x:c r="G7" s="27" t="str">
        <x:v>Biofísica de Aquaporinas</x:v>
      </x:c>
      <x:c r="H7" s="27" t="n">
        <x:v>4</x:v>
      </x:c>
    </x:row>
    <x:row r="8">
      <x:c r="A8" s="27" t="str">
        <x:v>Actuales</x:v>
      </x:c>
      <x:c r="B8" s="27" t="n">
        <x:v>62</x:v>
      </x:c>
      <x:c r="D8" s="27" t="str">
        <x:v>Laboratorio de Fisiopatogenia</x:v>
      </x:c>
      <x:c r="E8" s="27" t="n">
        <x:v>7</x:v>
      </x:c>
      <x:c r="G8" s="27" t="str">
        <x:v>Fisiología de Circuitos Neuronales</x:v>
      </x:c>
      <x:c r="H8" s="27" t="n">
        <x:v>4</x:v>
      </x:c>
    </x:row>
    <x:row r="9">
      <x:c r="A9" s="27" t="str">
        <x:v>Exintegrantes</x:v>
      </x:c>
      <x:c r="B9" s="27" t="n">
        <x:v>25</x:v>
      </x:c>
      <x:c r="D9" s="27" t="str">
        <x:v>Grupo de Pez Cebra</x:v>
      </x:c>
      <x:c r="E9" s="27" t="n">
        <x:v>3</x:v>
      </x:c>
      <x:c r="G9" s="27" t="str">
        <x:v>Fisiología del Dolor</x:v>
      </x:c>
      <x:c r="H9" s="27" t="n">
        <x:v>3</x:v>
      </x:c>
    </x:row>
    <x:row r="10">
      <x:c r="A10" s="27" t="str">
        <x:v>Conflicto actual/exintegrante</x:v>
      </x:c>
      <x:c r="B10" s="27" t="n">
        <x:v>2</x:v>
      </x:c>
      <x:c r="D10" s="27" t="str">
        <x:v>Laboratorio de Biología de la Reproducción</x:v>
      </x:c>
      <x:c r="E10" s="27" t="n">
        <x:v>3</x:v>
      </x:c>
      <x:c r="G10" s="27" t="str">
        <x:v>Mecanismos del SUH</x:v>
      </x:c>
      <x:c r="H10" s="27" t="n">
        <x:v>3</x:v>
      </x:c>
    </x:row>
    <x:row r="11">
      <x:c r="A11" s="27" t="str">
        <x:v>No encontrados en páginas actuales</x:v>
      </x:c>
      <x:c r="B11" s="27" t="n">
        <x:v>8</x:v>
      </x:c>
      <x:c r="D11" s="27" t="str">
        <x:v>Laboratorio de Fisiología Renal</x:v>
      </x:c>
      <x:c r="E11" s="27" t="n">
        <x:v>3</x:v>
      </x:c>
      <x:c r="G11" s="27" t="str">
        <x:v>Bases Neuronales de la Cognición</x:v>
      </x:c>
      <x:c r="H11" s="27" t="n">
        <x:v>2</x:v>
      </x:c>
    </x:row>
    <x:row r="12">
      <x:c r="A12" s="27" t="str">
        <x:v>Hallazgos para revisión</x:v>
      </x:c>
      <x:c r="B12" s="27" t="n">
        <x:v>53</x:v>
      </x:c>
      <x:c r="D12" s="27" t="str">
        <x:v>Gestión y Administración</x:v>
      </x:c>
      <x:c r="E12" s="27" t="n">
        <x:v>2</x:v>
      </x:c>
      <x:c r="G12" s="27" t="str">
        <x:v>Fisiopatología Neuronal</x:v>
      </x:c>
      <x:c r="H12" s="27" t="n">
        <x:v>2</x:v>
      </x:c>
    </x:row>
    <x:row r="13">
      <x:c r="D13" s="27" t="str">
        <x:v>Laboratorio de Neurofisiopatología</x:v>
      </x:c>
      <x:c r="E13" s="27" t="n">
        <x:v>2</x:v>
      </x:c>
      <x:c r="G13" s="27" t="str">
        <x:v>Formación de Redes Neurales</x:v>
      </x:c>
      <x:c r="H13" s="27" t="n">
        <x:v>2</x:v>
      </x:c>
    </x:row>
    <x:row r="14">
      <x:c r="D14" s="27" t="str">
        <x:v>Laboratorio de Neuropsicología de la Performance</x:v>
      </x:c>
      <x:c r="E14" s="27" t="n">
        <x:v>2</x:v>
      </x:c>
      <x:c r="G14" s="27" t="str">
        <x:v>Genética del Aprendizaje</x:v>
      </x:c>
      <x:c r="H14" s="27" t="n">
        <x:v>2</x:v>
      </x:c>
    </x:row>
    <x:row r="15">
      <x:c r="G15" s="27" t="str">
        <x:v>Trastornos del Equilibrio Ácido Base</x:v>
      </x:c>
      <x:c r="H15" s="27" t="n">
        <x:v>2</x:v>
      </x:c>
    </x:row>
    <x:row r="16">
      <x:c r="G16" s="27" t="str">
        <x:v>Biofísica Epitelial y Placentaria</x:v>
      </x:c>
      <x:c r="H16" s="27" t="n">
        <x:v>1</x:v>
      </x:c>
    </x:row>
    <x:row r="17">
      <x:c r="G17" s="27" t="str">
        <x:v>Biología de la Reproducción</x:v>
      </x:c>
      <x:c r="H17" s="27" t="n">
        <x:v>1</x:v>
      </x:c>
    </x:row>
    <x:row r="18">
      <x:c r="G18" s="27" t="str">
        <x:v>Enfermedades Poco Frecuentes</x:v>
      </x:c>
      <x:c r="H18" s="27" t="n">
        <x:v>1</x:v>
      </x:c>
    </x:row>
    <x:row r="19">
      <x:c r="G19" s="27" t="str">
        <x:v>Fisiología y Fisiopatología de las Acuaporinas</x:v>
      </x:c>
      <x:c r="H19" s="27" t="n">
        <x:v>1</x:v>
      </x:c>
    </x:row>
    <x:row r="20">
      <x:c r="G20" s="27" t="str">
        <x:v>Genética de la Comunicación entre Órganos</x:v>
      </x:c>
      <x:c r="H20" s="27" t="n">
        <x:v>1</x:v>
      </x:c>
    </x:row>
    <x:row r="21">
      <x:c r="G21" s="27" t="str">
        <x:v>Mecanismos de Toxina Shiga</x:v>
      </x:c>
      <x:c r="H21" s="27" t="n">
        <x:v>1</x:v>
      </x:c>
    </x:row>
    <x:row r="22">
      <x:c r="G22" s="27" t="str">
        <x:v>Mecanismos del SUH y Toxina Shiga</x:v>
      </x:c>
      <x:c r="H22" s="27" t="n">
        <x:v>1</x:v>
      </x:c>
    </x:row>
    <x:row r="23">
      <x:c r="G23" s="27" t="str">
        <x:v>Migración Celular</x:v>
      </x:c>
      <x:c r="H23" s="27" t="n">
        <x:v>1</x:v>
      </x:c>
    </x:row>
    <x:row r="24">
      <x:c r="G24" s="27" t="str">
        <x:v>Modelado Molecular y Diseño de Drogas</x:v>
      </x:c>
      <x:c r="H24" s="27" t="n">
        <x:v>1</x:v>
      </x:c>
    </x:row>
    <x:row r="25">
      <x:c r="G25" s="27" t="str">
        <x:v>Neurobiología de la Retina</x:v>
      </x:c>
      <x:c r="H25" s="27" t="n">
        <x:v>1</x:v>
      </x:c>
    </x:row>
    <x:row r="26">
      <x:c r="G26" s="27" t="str">
        <x:v>Neurobiología de las Adicciones</x:v>
      </x:c>
      <x:c r="H26" s="27" t="n">
        <x:v>1</x:v>
      </x:c>
    </x:row>
    <x:row r="27">
      <x:c r="G27" s="27" t="str">
        <x:v>Neurofisiología del Aprendizaje</x:v>
      </x:c>
      <x:c r="H27" s="27" t="n">
        <x:v>1</x:v>
      </x:c>
    </x:row>
    <x:row r="28">
      <x:c r="G28" s="27" t="str">
        <x:v>Neurofisiopatología</x:v>
      </x:c>
      <x:c r="H28" s="27" t="n">
        <x:v>1</x:v>
      </x:c>
    </x:row>
    <x:row r="29">
      <x:c r="G29" s="27" t="str">
        <x:v>Neuropsicología de la Performance</x:v>
      </x:c>
      <x:c r="H29" s="27" t="n">
        <x:v>1</x:v>
      </x:c>
    </x:row>
    <x:row r="30">
      <x:c r="G30" s="27" t="str">
        <x:v>Patogénesis Entérica</x:v>
      </x:c>
      <x:c r="H30" s="27" t="n">
        <x:v>1</x:v>
      </x:c>
    </x:row>
    <x:row r="31">
      <x:c r="G31" s="27" t="str">
        <x:v>Toxina Shiga y SUH</x:v>
      </x:c>
      <x:c r="H31" s="27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5" hidden="0" customWidth="1"/>
    <x:col min="2" max="2" width="24" hidden="0" customWidth="1"/>
    <x:col min="3" max="3" width="18" hidden="0" customWidth="1"/>
    <x:col min="4" max="4" width="24" hidden="0" customWidth="1"/>
    <x:col min="5" max="5" width="30" hidden="0" customWidth="1"/>
    <x:col min="6" max="6" width="34" hidden="0" customWidth="1"/>
    <x:col min="7" max="7" width="23" hidden="0" customWidth="1"/>
    <x:col min="8" max="8" width="22" hidden="0" customWidth="1"/>
    <x:col min="9" max="9" width="58" hidden="0" customWidth="1"/>
    <x:col min="10" max="10" width="30" hidden="0" customWidth="1"/>
    <x:col min="11" max="11" width="30" hidden="0" customWidth="1"/>
    <x:col min="12" max="12" width="23" hidden="0" customWidth="1"/>
    <x:col min="13" max="13" width="20" hidden="0" customWidth="1"/>
    <x:col min="14" max="14" width="26" hidden="0" customWidth="1"/>
    <x:col min="15" max="15" width="31" hidden="0" customWidth="1"/>
    <x:col min="16" max="16" width="36" hidden="0" customWidth="1"/>
    <x:col min="17" max="17" width="43" hidden="0" customWidth="1"/>
    <x:col min="18" max="18" width="43" hidden="0" customWidth="1"/>
    <x:col min="19" max="19" width="45" hidden="0" customWidth="1"/>
    <x:col min="20" max="20" width="13" hidden="0" customWidth="1"/>
    <x:col min="21" max="21" width="55" hidden="0" customWidth="1"/>
  </x:cols>
  <x:sheetData>
    <x:row r="1" ht="28" customHeight="1">
      <x:c r="A1" s="17" t="str">
        <x:v>Nómina única enriquecida — IFIBIO Houssay</x:v>
      </x:c>
    </x:row>
    <x:row r="2">
      <x:c r="A2" s="18" t="str">
        <x:v>Cruce entre la planilla original y el sitio oficial. Verificado: 2026-09-10. Una fila por persona.</x:v>
      </x:c>
    </x:row>
    <x:row r="4" ht="34" customHeight="1">
      <x:c r="A4" s="23" t="str">
        <x:v>Nombre normalizado</x:v>
      </x:c>
      <x:c r="B4" s="23" t="str">
        <x:v>Estado institucional</x:v>
      </x:c>
      <x:c r="C4" s="23" t="str">
        <x:v>Tipo actual/web</x:v>
      </x:c>
      <x:c r="D4" s="23" t="str">
        <x:v>Categoría publicada</x:v>
      </x:c>
      <x:c r="E4" s="23" t="str">
        <x:v>Laboratorio/grupo web</x:v>
      </x:c>
      <x:c r="F4" s="23" t="str">
        <x:v>Subgrupo/línea</x:v>
      </x:c>
      <x:c r="G4" s="23" t="str">
        <x:v>Responsable</x:v>
      </x:c>
      <x:c r="H4" s="23" t="str">
        <x:v>Área técnica CPA</x:v>
      </x:c>
      <x:c r="I4" s="23" t="str">
        <x:v>Descripción funcional</x:v>
      </x:c>
      <x:c r="J4" s="23" t="str">
        <x:v>Nombre en planilla original</x:v>
      </x:c>
      <x:c r="K4" s="23" t="str">
        <x:v>Sección original</x:v>
      </x:c>
      <x:c r="L4" s="23" t="str">
        <x:v>Rol original</x:v>
      </x:c>
      <x:c r="M4" s="23" t="str">
        <x:v>Pertenencia original</x:v>
      </x:c>
      <x:c r="N4" s="23" t="str">
        <x:v>Categoría original</x:v>
      </x:c>
      <x:c r="O4" s="23" t="str">
        <x:v>Laboratorio original</x:v>
      </x:c>
      <x:c r="P4" s="23" t="str">
        <x:v>Subgrupo original</x:v>
      </x:c>
      <x:c r="Q4" s="23" t="str">
        <x:v>Perfil CONICET</x:v>
      </x:c>
      <x:c r="R4" s="23" t="str">
        <x:v>Página de grupo</x:v>
      </x:c>
      <x:c r="S4" s="23" t="str">
        <x:v>Fuente oficial</x:v>
      </x:c>
      <x:c r="T4" s="23" t="str">
        <x:v>Verificado</x:v>
      </x:c>
      <x:c r="U4" s="23" t="str">
        <x:v>Observaciones</x:v>
      </x:c>
    </x:row>
    <x:row r="5">
      <x:c r="A5" s="27" t="str">
        <x:v>Agostina Presta</x:v>
      </x:c>
      <x:c r="B5" s="27" t="str">
        <x:v>Actual</x:v>
      </x:c>
      <x:c r="C5" s="27" t="str">
        <x:v>CPA</x:v>
      </x:c>
      <x:c r="D5" s="27" t="str">
        <x:v>Técnica Asistente - Conicet</x:v>
      </x:c>
      <x:c r="E5" s="27" t="str">
        <x:v>Servicios / Apoyo Técnico</x:v>
      </x:c>
      <x:c r="F5" s="27" t="str"/>
      <x:c r="G5" s="27" t="str"/>
      <x:c r="H5" s="27" t="str">
        <x:v>Histología</x:v>
      </x:c>
      <x:c r="I5" s="27" t="str"/>
      <x:c r="J5" s="27" t="str">
        <x:v>PRESTA, AGOSTINA</x:v>
      </x:c>
      <x:c r="K5" s="27" t="str">
        <x:v>Personal de Apoyo CONICET</x:v>
      </x:c>
      <x:c r="L5" s="27" t="str">
        <x:v>Personal de Apoyo</x:v>
      </x:c>
      <x:c r="M5" s="27" t="str">
        <x:v>CONICET</x:v>
      </x:c>
      <x:c r="N5" s="27" t="str">
        <x:v>TECNICO ASISTENTE</x:v>
      </x:c>
      <x:c r="O5" s="27" t="str">
        <x:v>Servicios / Apoyo Técnico</x:v>
      </x:c>
      <x:c r="P5" s="27" t="str">
        <x:v>Técnico Asistente</x:v>
      </x:c>
      <x:c r="Q5" s="27" t="str">
        <x:v>https://www.conicet.gov.ar/new_scp/detalle.php?id=52445&amp;keywords=ver%C3%B3nica%2Bveronica%2BRisso&amp;datos_academicos=yes</x:v>
      </x:c>
      <x:c r="R5" s="27" t="str"/>
      <x:c r="S5" s="27" t="str">
        <x:v>https://ifibio-uba.conicet.gov.ar/personal-del-instituto/cpa/</x:v>
      </x:c>
      <x:c r="T5" s="27" t="str">
        <x:v>2026-09-10</x:v>
      </x:c>
      <x:c r="U5" s="27" t="str"/>
    </x:row>
    <x:row r="6">
      <x:c r="A6" s="27" t="str">
        <x:v>Alba Richaudeau</x:v>
      </x:c>
      <x:c r="B6" s="27" t="str">
        <x:v>Actual</x:v>
      </x:c>
      <x:c r="C6" s="27" t="str">
        <x:v>Investigador/a</x:v>
      </x:c>
      <x:c r="D6" s="27" t="str">
        <x:v>Investigadora UBA</x:v>
      </x:c>
      <x:c r="E6" s="27" t="str">
        <x:v>Grupo de Neurociencia de Sistemas</x:v>
      </x:c>
      <x:c r="F6" s="27" t="str">
        <x:v>Enfermedades Poco Frecuentes</x:v>
      </x:c>
      <x:c r="G6" s="27" t="str"/>
      <x:c r="H6" s="27" t="str"/>
      <x:c r="I6" s="27" t="str">
        <x:v>Los contenidos del CONICET están licenciados bajo Creative Commons Reconocimiento 2.5 Argentina License Ver Registro de Obsequios y Viajes de Funcionarios Ver verificador de recibos IFIBIO Houssay, (UBA-CONICET) Paraguay 2155, 7°piso, (CP: 1121), Ciudad de Buenos Aires, Argentina.</x:v>
      </x:c>
      <x:c r="J6" s="27" t="str">
        <x:v>RICHAUDEAU, ALBA</x:v>
      </x:c>
      <x:c r="K6" s="27" t="str">
        <x:v>Integrantes Sitio Web</x:v>
      </x:c>
      <x:c r="L6" s="27" t="str">
        <x:v>Investigador / IR</x:v>
      </x:c>
      <x:c r="M6" s="27" t="str">
        <x:v>IFIBIO / UBA</x:v>
      </x:c>
      <x:c r="N6" s="27" t="str">
        <x:v>Investigadora</x:v>
      </x:c>
      <x:c r="O6" s="27" t="str">
        <x:v>Grupo de Neuropsicología del Neurodesarrollo</x:v>
      </x:c>
      <x:c r="P6" s="27" t="str">
        <x:v>Enfermedades Poco Frecuentes</x:v>
      </x:c>
      <x:c r="Q6" s="27" t="str"/>
      <x:c r="R6" s="27" t="str">
        <x:v>https://ifibio-uba.conicet.gov.ar/labs/</x:v>
      </x:c>
      <x:c r="S6" s="27" t="str">
        <x:v>https://ifibio-uba.conicet.gov.ar/personal-del-instituto/investigadores/</x:v>
      </x:c>
      <x:c r="T6" s="27" t="str">
        <x:v>2026-09-10</x:v>
      </x:c>
      <x:c r="U6" s="27" t="str">
        <x:v>Laboratorio/grupo actual no coincide con la planilla original</x:v>
      </x:c>
    </x:row>
    <x:row r="7">
      <x:c r="A7" s="27" t="str">
        <x:v>Alicia Damiano</x:v>
      </x:c>
      <x:c r="B7" s="27" t="str">
        <x:v>Actual</x:v>
      </x:c>
      <x:c r="C7" s="27" t="str">
        <x:v>Investigador/a</x:v>
      </x:c>
      <x:c r="D7" s="27" t="str">
        <x:v>Investigadora Principal</x:v>
      </x:c>
      <x:c r="E7" s="27" t="str">
        <x:v>Laboratorio de Biología de la Reproducción</x:v>
      </x:c>
      <x:c r="F7" s="27" t="str">
        <x:v>Biología de la Reproducción</x:v>
      </x:c>
      <x:c r="G7" s="27" t="str">
        <x:v>Alicia Damiano</x:v>
      </x:c>
      <x:c r="H7" s="27" t="str"/>
      <x:c r="I7" s="27" t="str"/>
      <x:c r="J7" s="27" t="str">
        <x:v>DAMIANO, ALICIA ERMELINDA</x:v>
      </x:c>
      <x:c r="K7" s="27" t="str">
        <x:v>Investigadores CONICET</x:v>
      </x:c>
      <x:c r="L7" s="27" t="str">
        <x:v>Investigador</x:v>
      </x:c>
      <x:c r="M7" s="27" t="str">
        <x:v>CONICET</x:v>
      </x:c>
      <x:c r="N7" s="27" t="str">
        <x:v>INV PRINCIPAL</x:v>
      </x:c>
      <x:c r="O7" s="27" t="str">
        <x:v>Laboratorio de Biología de la Reproducción</x:v>
      </x:c>
      <x:c r="P7" s="27" t="str">
        <x:v>Biología de la Reproducción</x:v>
      </x:c>
      <x:c r="Q7" s="27" t="str">
        <x:v>https://www.conicet.gov.ar/new_scp/detalle.php?id=34073&amp;keywords=giusto&amp;datos_academicos=yes</x:v>
      </x:c>
      <x:c r="R7" s="27" t="str">
        <x:v>https://ifibio-uba.conicet.gov.ar/labs/damiano/</x:v>
      </x:c>
      <x:c r="S7" s="27" t="str">
        <x:v>https://ifibio-uba.conicet.gov.ar/personal-del-instituto/investigadores/</x:v>
      </x:c>
      <x:c r="T7" s="27" t="str">
        <x:v>2026-09-10</x:v>
      </x:c>
      <x:c r="U7" s="27" t="str"/>
    </x:row>
    <x:row r="8">
      <x:c r="A8" s="27" t="str">
        <x:v>Alipio Pinto</x:v>
      </x:c>
      <x:c r="B8" s="27" t="str">
        <x:v>Actual</x:v>
      </x:c>
      <x:c r="C8" s="27" t="str">
        <x:v>Investigador/a</x:v>
      </x:c>
      <x:c r="D8" s="27" t="str">
        <x:v>Investigador Asistente</x:v>
      </x:c>
      <x:c r="E8" s="27" t="str">
        <x:v>Laboratorio de Neurofisiopatología</x:v>
      </x:c>
      <x:c r="F8" s="27" t="str"/>
      <x:c r="G8" s="27" t="str">
        <x:v>Jorge Goldstein</x:v>
      </x:c>
      <x:c r="H8" s="27" t="str"/>
      <x:c r="I8" s="27" t="str"/>
      <x:c r="J8" s="27" t="str"/>
      <x:c r="K8" s="27" t="str"/>
      <x:c r="L8" s="27" t="str"/>
      <x:c r="M8" s="27" t="str"/>
      <x:c r="N8" s="27" t="str"/>
      <x:c r="O8" s="27" t="str"/>
      <x:c r="P8" s="27" t="str"/>
      <x:c r="Q8" s="27" t="str">
        <x:v>https://www.conicet.gov.ar/new_scp/detalle.php?id=36799&amp;keywords=rela&amp;datos_academicos=yes</x:v>
      </x:c>
      <x:c r="R8" s="27" t="str">
        <x:v>https://ifibio-uba.conicet.gov.ar/labs/goldstein/</x:v>
      </x:c>
      <x:c r="S8" s="27" t="str">
        <x:v>https://ifibio-uba.conicet.gov.ar/personal-del-instituto/investigadores/</x:v>
      </x:c>
      <x:c r="T8" s="27" t="str">
        <x:v>2026-09-10</x:v>
      </x:c>
      <x:c r="U8" s="27" t="str">
        <x:v>Figura en el sitio oficial actual pero no en la planilla original</x:v>
      </x:c>
    </x:row>
    <x:row r="9">
      <x:c r="A9" s="27" t="str">
        <x:v>Ana Celi Castillo</x:v>
      </x:c>
      <x:c r="B9" s="27" t="str">
        <x:v>Actual</x:v>
      </x:c>
      <x:c r="C9" s="27" t="str">
        <x:v>Becario/a</x:v>
      </x:c>
      <x:c r="D9" s="27" t="str">
        <x:v>Becaria Doctoral - Conicet</x:v>
      </x:c>
      <x:c r="E9" s="27" t="str">
        <x:v>Laboratorio de Biomembranas</x:v>
      </x:c>
      <x:c r="F9" s="27" t="str">
        <x:v>Trastornos del Equilibrio Ácido Base</x:v>
      </x:c>
      <x:c r="G9" s="27" t="str">
        <x:v>Valeria Rivarola</x:v>
      </x:c>
      <x:c r="H9" s="27" t="str"/>
      <x:c r="I9" s="27" t="str"/>
      <x:c r="J9" s="27" t="str">
        <x:v>CELI CASTILLO, ANA BEATRIZ</x:v>
      </x:c>
      <x:c r="K9" s="27" t="str">
        <x:v>Becarios CONICET</x:v>
      </x:c>
      <x:c r="L9" s="27" t="str">
        <x:v>Becario</x:v>
      </x:c>
      <x:c r="M9" s="27" t="str">
        <x:v>CONICET</x:v>
      </x:c>
      <x:c r="N9" s="27" t="str">
        <x:v>Int. Doctoral Proyectos UE</x:v>
      </x:c>
      <x:c r="O9" s="27" t="str">
        <x:v>Laboratorio de Biomembranas</x:v>
      </x:c>
      <x:c r="P9" s="27" t="str">
        <x:v>Biofísica de Aquaporinas</x:v>
      </x:c>
      <x:c r="Q9" s="27" t="str"/>
      <x:c r="R9" s="27" t="str"/>
      <x:c r="S9" s="27" t="str">
        <x:v>https://ifibio-uba.conicet.gov.ar/personal-del-instituto/becarios/</x:v>
      </x:c>
      <x:c r="T9" s="27" t="str">
        <x:v>2026-09-10</x:v>
      </x:c>
      <x:c r="U9" s="27" t="str"/>
    </x:row>
    <x:row r="10">
      <x:c r="A10" s="27" t="str">
        <x:v>Analía López Díaz</x:v>
      </x:c>
      <x:c r="B10" s="27" t="str">
        <x:v>Actual</x:v>
      </x:c>
      <x:c r="C10" s="27" t="str">
        <x:v>CPA</x:v>
      </x:c>
      <x:c r="D10" s="27" t="str">
        <x:v>Técnica Asociada - Conicet</x:v>
      </x:c>
      <x:c r="E10" s="27" t="str">
        <x:v>Servicios / Apoyo Técnico</x:v>
      </x:c>
      <x:c r="F10" s="27" t="str"/>
      <x:c r="G10" s="27" t="str"/>
      <x:c r="H10" s="27" t="str">
        <x:v>Biología Molecular</x:v>
      </x:c>
      <x:c r="I10" s="27" t="str"/>
      <x:c r="J10" s="27" t="str">
        <x:v>LÓPEZ DÍAZ, ANALÍA VALERIA</x:v>
      </x:c>
      <x:c r="K10" s="27" t="str">
        <x:v>Personal de Apoyo CONICET</x:v>
      </x:c>
      <x:c r="L10" s="27" t="str">
        <x:v>Personal de Apoyo</x:v>
      </x:c>
      <x:c r="M10" s="27" t="str">
        <x:v>CONICET</x:v>
      </x:c>
      <x:c r="N10" s="27" t="str">
        <x:v>TECNICO ASOCIADO</x:v>
      </x:c>
      <x:c r="O10" s="27" t="str">
        <x:v>Servicios / Apoyo Técnico</x:v>
      </x:c>
      <x:c r="P10" s="27" t="str">
        <x:v>Técnico Asociado</x:v>
      </x:c>
      <x:c r="Q10" s="27" t="str">
        <x:v>https://www.conicet.gov.ar/new_scp/detalle.php?keywords=agostina%2Bpresta&amp;id=61411&amp;datos_academicos=yes</x:v>
      </x:c>
      <x:c r="R10" s="27" t="str"/>
      <x:c r="S10" s="27" t="str">
        <x:v>https://ifibio-uba.conicet.gov.ar/personal-del-instituto/cpa/</x:v>
      </x:c>
      <x:c r="T10" s="27" t="str">
        <x:v>2026-09-10</x:v>
      </x:c>
      <x:c r="U10" s="27" t="str"/>
    </x:row>
    <x:row r="11">
      <x:c r="A11" s="27" t="str">
        <x:v>Andrés Varani</x:v>
      </x:c>
      <x:c r="B11" s="27" t="str">
        <x:v>Actual</x:v>
      </x:c>
      <x:c r="C11" s="27" t="str">
        <x:v>Investigador/a</x:v>
      </x:c>
      <x:c r="D11" s="27" t="str">
        <x:v>Investigador Asistente</x:v>
      </x:c>
      <x:c r="E11" s="27" t="str">
        <x:v>Grupo de Neurociencia de Sistemas</x:v>
      </x:c>
      <x:c r="F11" s="27" t="str">
        <x:v>Fisiología de la Conducta Animal</x:v>
      </x:c>
      <x:c r="G11" s="27" t="str">
        <x:v>Juan Belforte</x:v>
      </x:c>
      <x:c r="H11" s="27" t="str"/>
      <x:c r="I11" s="27" t="str"/>
      <x:c r="J11" s="27" t="str">
        <x:v>VARANI, ANDRÉS PABLO</x:v>
      </x:c>
      <x:c r="K11" s="27" t="str">
        <x:v>Investigadores CONICET</x:v>
      </x:c>
      <x:c r="L11" s="27" t="str">
        <x:v>Investigador</x:v>
      </x:c>
      <x:c r="M11" s="27" t="str">
        <x:v>CONICET</x:v>
      </x:c>
      <x:c r="N11" s="27" t="str">
        <x:v>INV ASISTENTE</x:v>
      </x:c>
      <x:c r="O11" s="27" t="str">
        <x:v>Grupo de Neurociencia de Sistemas</x:v>
      </x:c>
      <x:c r="P11" s="27" t="str">
        <x:v>Fisiología del Sistema Nervioso Central</x:v>
      </x:c>
      <x:c r="Q11" s="27" t="str">
        <x:v>https://www.conicet.gov.ar/new_scp/detalle.php?id=27449&amp;keywords=zold&amp;datos_academicos=yes</x:v>
      </x:c>
      <x:c r="R11" s="27" t="str">
        <x:v>https://ifibio-uba.conicet.gov.ar/labs/belforte/</x:v>
      </x:c>
      <x:c r="S11" s="27" t="str">
        <x:v>https://ifibio-uba.conicet.gov.ar/personal-del-instituto/investigadores/</x:v>
      </x:c>
      <x:c r="T11" s="27" t="str">
        <x:v>2026-09-10</x:v>
      </x:c>
      <x:c r="U11" s="27" t="str"/>
    </x:row>
    <x:row r="12">
      <x:c r="A12" s="27" t="str">
        <x:v>Bárbara Giugovaz Tropper</x:v>
      </x:c>
      <x:c r="B12" s="27" t="str">
        <x:v>Actual</x:v>
      </x:c>
      <x:c r="C12" s="27" t="str">
        <x:v>CPA</x:v>
      </x:c>
      <x:c r="D12" s="27" t="str">
        <x:v>Profesional Adjunta - Conicet</x:v>
      </x:c>
      <x:c r="E12" s="27" t="str">
        <x:v>Servicios / Apoyo Técnico</x:v>
      </x:c>
      <x:c r="F12" s="27" t="str"/>
      <x:c r="G12" s="27" t="str"/>
      <x:c r="H12" s="27" t="str">
        <x:v>Electrofisiología</x:v>
      </x:c>
      <x:c r="I12" s="27" t="str"/>
      <x:c r="J12" s="27" t="str">
        <x:v>GIUGOVAZ TROPPER, BARBARA ANGELICA</x:v>
      </x:c>
      <x:c r="K12" s="27" t="str">
        <x:v>Personal de Apoyo CONICET</x:v>
      </x:c>
      <x:c r="L12" s="27" t="str">
        <x:v>Personal de Apoyo</x:v>
      </x:c>
      <x:c r="M12" s="27" t="str">
        <x:v>CONICET</x:v>
      </x:c>
      <x:c r="N12" s="27" t="str">
        <x:v>PROFESIONAL PRINCIP.</x:v>
      </x:c>
      <x:c r="O12" s="27" t="str">
        <x:v>Servicios / Apoyo Téchinco</x:v>
      </x:c>
      <x:c r="P12" s="27" t="str">
        <x:v>Profesional Principal</x:v>
      </x:c>
      <x:c r="Q12" s="27" t="str">
        <x:v>https://www.conicet.gov.ar/new_scp/detalle.php?id=49675&amp;keywords=iacona&amp;datos_academicos=yes</x:v>
      </x:c>
      <x:c r="R12" s="27" t="str"/>
      <x:c r="S12" s="27" t="str">
        <x:v>https://ifibio-uba.conicet.gov.ar/personal-del-instituto/cpa/</x:v>
      </x:c>
      <x:c r="T12" s="27" t="str">
        <x:v>2026-09-10</x:v>
      </x:c>
      <x:c r="U12" s="27" t="str"/>
    </x:row>
    <x:row r="13">
      <x:c r="A13" s="27" t="str">
        <x:v>Camila Zold</x:v>
      </x:c>
      <x:c r="B13" s="27" t="str">
        <x:v>Actual</x:v>
      </x:c>
      <x:c r="C13" s="27" t="str">
        <x:v>Investigador/a</x:v>
      </x:c>
      <x:c r="D13" s="27" t="str">
        <x:v>Investigadora Asistente</x:v>
      </x:c>
      <x:c r="E13" s="27" t="str">
        <x:v>Grupo de Neurociencia de Sistemas</x:v>
      </x:c>
      <x:c r="F13" s="27" t="str">
        <x:v>Neurofisiología del Aprendizaje</x:v>
      </x:c>
      <x:c r="G13" s="27" t="str">
        <x:v>Camila Zold</x:v>
      </x:c>
      <x:c r="H13" s="27" t="str"/>
      <x:c r="I13" s="27" t="str"/>
      <x:c r="J13" s="27" t="str">
        <x:v>ZOLD, CAMILA LIDIA</x:v>
      </x:c>
      <x:c r="K13" s="27" t="str">
        <x:v>Investigadores CONICET</x:v>
      </x:c>
      <x:c r="L13" s="27" t="str">
        <x:v>Investigador</x:v>
      </x:c>
      <x:c r="M13" s="27" t="str">
        <x:v>CONICET</x:v>
      </x:c>
      <x:c r="N13" s="27" t="str">
        <x:v>INV ADJUNTO</x:v>
      </x:c>
      <x:c r="O13" s="27" t="str">
        <x:v>Grupo de Neurociencia de Sistemas</x:v>
      </x:c>
      <x:c r="P13" s="27" t="str">
        <x:v>Neurofisiología del Aprendizaje</x:v>
      </x:c>
      <x:c r="Q13" s="27" t="str"/>
      <x:c r="R13" s="27" t="str">
        <x:v>https://ifibio-uba.conicet.gov.ar/labs/zold/</x:v>
      </x:c>
      <x:c r="S13" s="27" t="str">
        <x:v>https://ifibio-uba.conicet.gov.ar/personal-del-instituto/investigadores/</x:v>
      </x:c>
      <x:c r="T13" s="27" t="str">
        <x:v>2026-09-10</x:v>
      </x:c>
      <x:c r="U13" s="27" t="str">
        <x:v>Categoría posiblemente actualizada: planilla=ADJUNTO; web=ASISTENTE</x:v>
      </x:c>
    </x:row>
    <x:row r="14">
      <x:c r="A14" s="27" t="str">
        <x:v>Candela Fagnani</x:v>
      </x:c>
      <x:c r="B14" s="27" t="str">
        <x:v>Actual</x:v>
      </x:c>
      <x:c r="C14" s="27" t="str">
        <x:v>Becario/a</x:v>
      </x:c>
      <x:c r="D14" s="27" t="str">
        <x:v>Becaria de Maestría en Biologia Molecular Medica</x:v>
      </x:c>
      <x:c r="E14" s="27" t="str">
        <x:v>Grupo de Neurociencia de Sistemas</x:v>
      </x:c>
      <x:c r="F14" s="27" t="str">
        <x:v>Fisiología de la Conducta Animal</x:v>
      </x:c>
      <x:c r="G14" s="27" t="str">
        <x:v>Juan Belforte</x:v>
      </x:c>
      <x:c r="H14" s="27" t="str"/>
      <x:c r="I14" s="27" t="str"/>
      <x:c r="J14" s="27" t="str"/>
      <x:c r="K14" s="27" t="str"/>
      <x:c r="L14" s="27" t="str"/>
      <x:c r="M14" s="27" t="str"/>
      <x:c r="N14" s="27" t="str"/>
      <x:c r="O14" s="27" t="str"/>
      <x:c r="P14" s="27" t="str"/>
      <x:c r="Q14" s="27" t="str">
        <x:v>https://www.conicet.gov.ar/new_scp/detalle.php?id=66372&amp;keywords=nazarena%2Bfernandez&amp;datos_academicos=yes</x:v>
      </x:c>
      <x:c r="R14" s="27" t="str"/>
      <x:c r="S14" s="27" t="str">
        <x:v>https://ifibio-uba.conicet.gov.ar/personal-del-instituto/becarios/</x:v>
      </x:c>
      <x:c r="T14" s="27" t="str">
        <x:v>2026-09-10</x:v>
      </x:c>
      <x:c r="U14" s="27" t="str">
        <x:v>Figura en el sitio oficial actual pero no en la planilla original</x:v>
      </x:c>
    </x:row>
    <x:row r="15">
      <x:c r="A15" s="27" t="str">
        <x:v>Carlos Petrell Annan</x:v>
      </x:c>
      <x:c r="B15" s="27" t="str">
        <x:v>Actual</x:v>
      </x:c>
      <x:c r="C15" s="27" t="str">
        <x:v>Becario/a</x:v>
      </x:c>
      <x:c r="D15" s="27" t="str">
        <x:v>Becario Doctoral - Conicet</x:v>
      </x:c>
      <x:c r="E15" s="27" t="str">
        <x:v>Grupo de Neurociencia de Sistemas</x:v>
      </x:c>
      <x:c r="F15" s="27" t="str">
        <x:v>Fisiología de la Conducta Animal</x:v>
      </x:c>
      <x:c r="G15" s="27" t="str">
        <x:v>Juan Belforte</x:v>
      </x:c>
      <x:c r="H15" s="27" t="str"/>
      <x:c r="I15" s="27" t="str"/>
      <x:c r="J15" s="27" t="str">
        <x:v>PRETELL ANNAN, CARLOS ALFREDO</x:v>
      </x:c>
      <x:c r="K15" s="27" t="str">
        <x:v>Integrantes Sitio Web</x:v>
      </x:c>
      <x:c r="L15" s="27" t="str">
        <x:v>Integrante / Colaborador</x:v>
      </x:c>
      <x:c r="M15" s="27" t="str">
        <x:v>IFIBIO</x:v>
      </x:c>
      <x:c r="N15" s="27" t="str">
        <x:v>Colaborador</x:v>
      </x:c>
      <x:c r="O15" s="27" t="str">
        <x:v>Grupo de Neurociencia de Sistemas</x:v>
      </x:c>
      <x:c r="P15" s="27" t="str">
        <x:v>Neurociencias</x:v>
      </x:c>
      <x:c r="Q15" s="27" t="str"/>
      <x:c r="R15" s="27" t="str"/>
      <x:c r="S15" s="27" t="str">
        <x:v>https://ifibio-uba.conicet.gov.ar/personal-del-instituto/becarios/</x:v>
      </x:c>
      <x:c r="T15" s="27" t="str">
        <x:v>2026-09-10</x:v>
      </x:c>
      <x:c r="U15" s="27" t="str"/>
    </x:row>
    <x:row r="16">
      <x:c r="A16" s="27" t="str">
        <x:v>Cecilia Tubert</x:v>
      </x:c>
      <x:c r="B16" s="27" t="str">
        <x:v>Actual</x:v>
      </x:c>
      <x:c r="C16" s="27" t="str">
        <x:v>Investigador/a</x:v>
      </x:c>
      <x:c r="D16" s="27" t="str">
        <x:v>Investigadora Asistente - Conicet</x:v>
      </x:c>
      <x:c r="E16" s="27" t="str">
        <x:v>Grupo de Neurociencia de Sistemas</x:v>
      </x:c>
      <x:c r="F16" s="27" t="str">
        <x:v>Fisiología de Circuitos Neuronales</x:v>
      </x:c>
      <x:c r="G16" s="27" t="str">
        <x:v>Gustavo Murer</x:v>
      </x:c>
      <x:c r="H16" s="27" t="str"/>
      <x:c r="I16" s="27" t="str"/>
      <x:c r="J16" s="27" t="str">
        <x:v>TUBERT, CECILIA</x:v>
      </x:c>
      <x:c r="K16" s="27" t="str">
        <x:v>Investigadores CONICET</x:v>
      </x:c>
      <x:c r="L16" s="27" t="str">
        <x:v>Investigador</x:v>
      </x:c>
      <x:c r="M16" s="27" t="str">
        <x:v>CONICET</x:v>
      </x:c>
      <x:c r="N16" s="27" t="str">
        <x:v>INV ASISTENTE</x:v>
      </x:c>
      <x:c r="O16" s="27" t="str">
        <x:v>Grupo de Neurociencia de Sistemas</x:v>
      </x:c>
      <x:c r="P16" s="27" t="str">
        <x:v>Fisiología de Circuitos Neuronales</x:v>
      </x:c>
      <x:c r="Q16" s="27" t="str">
        <x:v>https://www.conicet.gov.ar/new_scp/detalle.php?id=62170&amp;keywords=valdivia%2Btorres&amp;datos_academicos=yes</x:v>
      </x:c>
      <x:c r="R16" s="27" t="str">
        <x:v>https://ifibio-uba.conicet.gov.ar/labs/murer/</x:v>
      </x:c>
      <x:c r="S16" s="27" t="str">
        <x:v>https://ifibio-uba.conicet.gov.ar/personal-del-instituto/investigadores/</x:v>
      </x:c>
      <x:c r="T16" s="27" t="str">
        <x:v>2026-09-10</x:v>
      </x:c>
      <x:c r="U16" s="27" t="str"/>
    </x:row>
    <x:row r="17">
      <x:c r="A17" s="27" t="str">
        <x:v>Claudia Capurro</x:v>
      </x:c>
      <x:c r="B17" s="27" t="str">
        <x:v>Actual</x:v>
      </x:c>
      <x:c r="C17" s="27" t="str">
        <x:v>Investigador/a</x:v>
      </x:c>
      <x:c r="D17" s="27" t="str">
        <x:v>Investigadora Principal</x:v>
      </x:c>
      <x:c r="E17" s="27" t="str">
        <x:v>Laboratorio de Biomembranas</x:v>
      </x:c>
      <x:c r="F17" s="27" t="str">
        <x:v>Fisiología y Fisiopatología de las Acuaporinas</x:v>
      </x:c>
      <x:c r="G17" s="27" t="str">
        <x:v>Claudia Capurro</x:v>
      </x:c>
      <x:c r="H17" s="27" t="str"/>
      <x:c r="I17" s="27" t="str"/>
      <x:c r="J17" s="27" t="str">
        <x:v>CAPURRO, CLAUDIA GRACIELA</x:v>
      </x:c>
      <x:c r="K17" s="27" t="str">
        <x:v>Investigadores CONICET</x:v>
      </x:c>
      <x:c r="L17" s="27" t="str">
        <x:v>Investigador</x:v>
      </x:c>
      <x:c r="M17" s="27" t="str">
        <x:v>CONICET</x:v>
      </x:c>
      <x:c r="N17" s="27" t="str">
        <x:v>INV PRINCIPAL</x:v>
      </x:c>
      <x:c r="O17" s="27" t="str">
        <x:v>Laboratorio de Biomembranas</x:v>
      </x:c>
      <x:c r="P17" s="27" t="str">
        <x:v>Fisiología y Fisiopatología de las Acuaporinas</x:v>
      </x:c>
      <x:c r="Q17" s="27" t="str">
        <x:v>https://www.conicet.gov.ar/new_scp/detalle.php?id=21511&amp;keywords=damiano&amp;datos_academicos=yes</x:v>
      </x:c>
      <x:c r="R17" s="27" t="str">
        <x:v>https://ifibio-uba.conicet.gov.ar/labs/biomembranas/</x:v>
      </x:c>
      <x:c r="S17" s="27" t="str">
        <x:v>https://ifibio-uba.conicet.gov.ar/personal-del-instituto/investigadores/</x:v>
      </x:c>
      <x:c r="T17" s="27" t="str">
        <x:v>2026-09-10</x:v>
      </x:c>
      <x:c r="U17" s="27" t="str"/>
    </x:row>
    <x:row r="18">
      <x:c r="A18" s="27" t="str">
        <x:v>Claudia Silberstein</x:v>
      </x:c>
      <x:c r="B18" s="27" t="str">
        <x:v>Actual</x:v>
      </x:c>
      <x:c r="C18" s="27" t="str">
        <x:v>Investigador/a</x:v>
      </x:c>
      <x:c r="D18" s="27" t="str">
        <x:v>Investigadora UBA</x:v>
      </x:c>
      <x:c r="E18" s="27" t="str">
        <x:v>Laboratorio de Fisiología Renal</x:v>
      </x:c>
      <x:c r="F18" s="27" t="str"/>
      <x:c r="G18" s="27" t="str">
        <x:v>Claudia Silberstein</x:v>
      </x:c>
      <x:c r="H18" s="27" t="str"/>
      <x:c r="I18" s="27" t="str"/>
      <x:c r="J18" s="27" t="str">
        <x:v>SILBERSTEIN, CLAUDIA MARCELA</x:v>
      </x:c>
      <x:c r="K18" s="27" t="str">
        <x:v>Personal No CONICET</x:v>
      </x:c>
      <x:c r="L18" s="27" t="str">
        <x:v>Investigador</x:v>
      </x:c>
      <x:c r="M18" s="27" t="str">
        <x:v>NO CONICET</x:v>
      </x:c>
      <x:c r="N18" s="27" t="str">
        <x:v>Investigador</x:v>
      </x:c>
      <x:c r="O18" s="27" t="str">
        <x:v>Laboratorio de Fisiología Renal</x:v>
      </x:c>
      <x:c r="P18" s="27" t="str">
        <x:v>Directora Lab. Fisiología Renal</x:v>
      </x:c>
      <x:c r="Q18" s="27" t="str">
        <x:v>https://www.conicet.gov.ar/new_scp/detalle.php?id=31242&amp;keywords=toriano&amp;datos_academicos=yes</x:v>
      </x:c>
      <x:c r="R18" s="27" t="str">
        <x:v>https://ifibio-uba.conicet.gov.ar/labs/silberstein/</x:v>
      </x:c>
      <x:c r="S18" s="27" t="str">
        <x:v>https://ifibio-uba.conicet.gov.ar/personal-del-instituto/investigadores/</x:v>
      </x:c>
      <x:c r="T18" s="27" t="str">
        <x:v>2026-09-10</x:v>
      </x:c>
      <x:c r="U18" s="27" t="str"/>
    </x:row>
    <x:row r="19">
      <x:c r="A19" s="27" t="str">
        <x:v>Cristina Ibarra</x:v>
      </x:c>
      <x:c r="B19" s="27" t="str">
        <x:v>Actual</x:v>
      </x:c>
      <x:c r="C19" s="27" t="str">
        <x:v>Investigador/a</x:v>
      </x:c>
      <x:c r="D19" s="27" t="str">
        <x:v>Investigadora Principal Ad-Honorem</x:v>
      </x:c>
      <x:c r="E19" s="27" t="str">
        <x:v>Laboratorio de Fisiopatogenia</x:v>
      </x:c>
      <x:c r="F19" s="27" t="str"/>
      <x:c r="G19" s="27" t="str">
        <x:v>Cristina Ibarra</x:v>
      </x:c>
      <x:c r="H19" s="27" t="str"/>
      <x:c r="I19" s="27" t="str"/>
      <x:c r="J19" s="27" t="str">
        <x:v>IBARRA, CRISTINA ADRIANA</x:v>
      </x:c>
      <x:c r="K19" s="27" t="str">
        <x:v>CONICET Contratados</x:v>
      </x:c>
      <x:c r="L19" s="27" t="str">
        <x:v>Investigador Contratado</x:v>
      </x:c>
      <x:c r="M19" s="27" t="str">
        <x:v>CONICET</x:v>
      </x:c>
      <x:c r="N19" s="27" t="str">
        <x:v>INV. PRINCIPAL AD-HONOREM</x:v>
      </x:c>
      <x:c r="O19" s="27" t="str">
        <x:v>Laboratorio de Fisiopatogenia</x:v>
      </x:c>
      <x:c r="P19" s="27" t="str">
        <x:v>Directora Lab. Fisiopatogenia</x:v>
      </x:c>
      <x:c r="Q19" s="27" t="str"/>
      <x:c r="R19" s="27" t="str">
        <x:v>https://ifibio-uba.conicet.gov.ar/labs/ibarra/</x:v>
      </x:c>
      <x:c r="S19" s="27" t="str">
        <x:v>https://ifibio-uba.conicet.gov.ar/personal-del-instituto/investigadores/</x:v>
      </x:c>
      <x:c r="T19" s="27" t="str">
        <x:v>2026-09-10</x:v>
      </x:c>
      <x:c r="U19" s="27" t="str"/>
    </x:row>
    <x:row r="20">
      <x:c r="A20" s="27" t="str">
        <x:v>Daiana Gioia</x:v>
      </x:c>
      <x:c r="B20" s="27" t="str">
        <x:v>Actual</x:v>
      </x:c>
      <x:c r="C20" s="27" t="str">
        <x:v>Becario/a</x:v>
      </x:c>
      <x:c r="D20" s="27" t="str">
        <x:v>Becaria Doctoral - Foncyt</x:v>
      </x:c>
      <x:c r="E20" s="27" t="str">
        <x:v>Laboratorio de Biomembranas</x:v>
      </x:c>
      <x:c r="F20" s="27" t="str">
        <x:v>Biofísica de Aquaporinas</x:v>
      </x:c>
      <x:c r="G20" s="27" t="str">
        <x:v>Claudia Capurro</x:v>
      </x:c>
      <x:c r="H20" s="27" t="str"/>
      <x:c r="I20" s="27" t="str"/>
      <x:c r="J20" s="27" t="str">
        <x:v>GIOIA, DAIANA SOLANGE</x:v>
      </x:c>
      <x:c r="K20" s="27" t="str">
        <x:v>Becarios CONICET</x:v>
      </x:c>
      <x:c r="L20" s="27" t="str">
        <x:v>Becario</x:v>
      </x:c>
      <x:c r="M20" s="27" t="str">
        <x:v>CONICET</x:v>
      </x:c>
      <x:c r="N20" s="27" t="str">
        <x:v>INTERNA DE FIN DE DOCTORADO</x:v>
      </x:c>
      <x:c r="O20" s="27" t="str">
        <x:v>Laboratorio de Biomembranas</x:v>
      </x:c>
      <x:c r="P20" s="27" t="str">
        <x:v>Biofísica de Aquaporinas</x:v>
      </x:c>
      <x:c r="Q20" s="27" t="str">
        <x:v>https://www.conicet.gov.ar/new_scp/detalle.php?id=63028&amp;keywords=giron%2Breyes&amp;datos_academicos=yes</x:v>
      </x:c>
      <x:c r="R20" s="27" t="str"/>
      <x:c r="S20" s="27" t="str">
        <x:v>https://ifibio-uba.conicet.gov.ar/personal-del-instituto/becarios/</x:v>
      </x:c>
      <x:c r="T20" s="27" t="str">
        <x:v>2026-09-10</x:v>
      </x:c>
      <x:c r="U20" s="27" t="str"/>
    </x:row>
    <x:row r="21">
      <x:c r="A21" s="27" t="str">
        <x:v>Daniel Giron Reyes</x:v>
      </x:c>
      <x:c r="B21" s="27" t="str">
        <x:v>Actual</x:v>
      </x:c>
      <x:c r="C21" s="27" t="str">
        <x:v>Becario/a</x:v>
      </x:c>
      <x:c r="D21" s="27" t="str">
        <x:v>Becario Doctoral - Conicet</x:v>
      </x:c>
      <x:c r="E21" s="27" t="str">
        <x:v>Laboratorio de Fisiopatogenia</x:v>
      </x:c>
      <x:c r="F21" s="27" t="str">
        <x:v>Toxina Shiga y SUH</x:v>
      </x:c>
      <x:c r="G21" s="27" t="str">
        <x:v>Cristina Ibarra</x:v>
      </x:c>
      <x:c r="H21" s="27" t="str"/>
      <x:c r="I21" s="27" t="str"/>
      <x:c r="J21" s="27" t="str">
        <x:v>GIRÓN REYES, CLAUDIO DANIEL</x:v>
      </x:c>
      <x:c r="K21" s="27" t="str">
        <x:v>Becarios CONICET</x:v>
      </x:c>
      <x:c r="L21" s="27" t="str">
        <x:v>Becario</x:v>
      </x:c>
      <x:c r="M21" s="27" t="str">
        <x:v>CONICET</x:v>
      </x:c>
      <x:c r="N21" s="27" t="str">
        <x:v>DOC. C/PAISES LATINOAMERICANOS</x:v>
      </x:c>
      <x:c r="O21" s="27" t="str">
        <x:v>Laboratorio de Fisiopatogenia</x:v>
      </x:c>
      <x:c r="P21" s="27" t="str">
        <x:v>Toxina Shiga y SUH</x:v>
      </x:c>
      <x:c r="Q21" s="27" t="str">
        <x:v>https://www.conicet.gov.ar/new_scp/detalle.php?id=56048&amp;keywords=fernando%2Bgomez&amp;datos_academicos=yes</x:v>
      </x:c>
      <x:c r="R21" s="27" t="str"/>
      <x:c r="S21" s="27" t="str">
        <x:v>https://ifibio-uba.conicet.gov.ar/personal-del-instituto/becarios/</x:v>
      </x:c>
      <x:c r="T21" s="27" t="str">
        <x:v>2026-09-10</x:v>
      </x:c>
      <x:c r="U21" s="27" t="str"/>
    </x:row>
    <x:row r="22">
      <x:c r="A22" s="27" t="str">
        <x:v>Diego Pafundo</x:v>
      </x:c>
      <x:c r="B22" s="27" t="str">
        <x:v>Actual</x:v>
      </x:c>
      <x:c r="C22" s="27" t="str">
        <x:v>Investigador/a</x:v>
      </x:c>
      <x:c r="D22" s="27" t="str">
        <x:v>Investigador Adjunto</x:v>
      </x:c>
      <x:c r="E22" s="27" t="str">
        <x:v>Grupo de Neurociencia de Sistemas</x:v>
      </x:c>
      <x:c r="F22" s="27" t="str">
        <x:v>Bases Neuronales de la Cognición</x:v>
      </x:c>
      <x:c r="G22" s="27" t="str">
        <x:v>Diego Pafundo</x:v>
      </x:c>
      <x:c r="H22" s="27" t="str"/>
      <x:c r="I22" s="27" t="str"/>
      <x:c r="J22" s="27" t="str">
        <x:v>PAFUNDO, DIEGO ESTEBAN</x:v>
      </x:c>
      <x:c r="K22" s="27" t="str">
        <x:v>Investigadores CONICET</x:v>
      </x:c>
      <x:c r="L22" s="27" t="str">
        <x:v>Investigador</x:v>
      </x:c>
      <x:c r="M22" s="27" t="str">
        <x:v>CONICET</x:v>
      </x:c>
      <x:c r="N22" s="27" t="str">
        <x:v>INV ADJUNTO</x:v>
      </x:c>
      <x:c r="O22" s="27" t="str">
        <x:v>Grupo de Neurociencia de Sistemas</x:v>
      </x:c>
      <x:c r="P22" s="27" t="str">
        <x:v>Bases Neuronales de la Cognición</x:v>
      </x:c>
      <x:c r="Q22" s="27" t="str">
        <x:v>https://www.conicet.gov.ar/new_scp/detalle.php?id=37105&amp;keywords=rafael%2Bpagani&amp;datos_academicos=yes</x:v>
      </x:c>
      <x:c r="R22" s="27" t="str">
        <x:v>https://ifibio-uba.conicet.gov.ar/labs/pafundo/</x:v>
      </x:c>
      <x:c r="S22" s="27" t="str">
        <x:v>https://ifibio-uba.conicet.gov.ar/personal-del-instituto/investigadores/</x:v>
      </x:c>
      <x:c r="T22" s="27" t="str">
        <x:v>2026-09-10</x:v>
      </x:c>
      <x:c r="U22" s="27" t="str"/>
    </x:row>
    <x:row r="23">
      <x:c r="A23" s="27" t="str">
        <x:v>Elsa Zotta</x:v>
      </x:c>
      <x:c r="B23" s="27" t="str">
        <x:v>Actual</x:v>
      </x:c>
      <x:c r="C23" s="27" t="str">
        <x:v>Investigador/a</x:v>
      </x:c>
      <x:c r="D23" s="27" t="str">
        <x:v>Investigadora UBA</x:v>
      </x:c>
      <x:c r="E23" s="27" t="str">
        <x:v>Laboratorio de Fisiopatogenia</x:v>
      </x:c>
      <x:c r="F23" s="27" t="str">
        <x:v>Mecanismos del SUH</x:v>
      </x:c>
      <x:c r="G23" s="27" t="str">
        <x:v>Cristina Ibarra</x:v>
      </x:c>
      <x:c r="H23" s="27" t="str"/>
      <x:c r="I23" s="27" t="str"/>
      <x:c r="J23" s="27" t="str">
        <x:v>ZOTTA, ELSA</x:v>
      </x:c>
      <x:c r="K23" s="27" t="str">
        <x:v>Personal No CONICET</x:v>
      </x:c>
      <x:c r="L23" s="27" t="str">
        <x:v>Investigador</x:v>
      </x:c>
      <x:c r="M23" s="27" t="str">
        <x:v>NO CONICET</x:v>
      </x:c>
      <x:c r="N23" s="27" t="str">
        <x:v>Investigador</x:v>
      </x:c>
      <x:c r="O23" s="27" t="str">
        <x:v>Laboratorio de Fisiopatogenia</x:v>
      </x:c>
      <x:c r="P23" s="27" t="str">
        <x:v>Mecanismos del SUH</x:v>
      </x:c>
      <x:c r="Q23" s="27" t="str"/>
      <x:c r="R23" s="27" t="str">
        <x:v>https://ifibio-uba.conicet.gov.ar/labs/ibarra/</x:v>
      </x:c>
      <x:c r="S23" s="27" t="str">
        <x:v>https://ifibio-uba.conicet.gov.ar/personal-del-instituto/investigadores/</x:v>
      </x:c>
      <x:c r="T23" s="27" t="str">
        <x:v>2026-09-10</x:v>
      </x:c>
      <x:c r="U23" s="27" t="str"/>
    </x:row>
    <x:row r="24">
      <x:c r="A24" s="27" t="str">
        <x:v>Esteban Valverde</x:v>
      </x:c>
      <x:c r="B24" s="27" t="str">
        <x:v>Actual</x:v>
      </x:c>
      <x:c r="C24" s="27" t="str">
        <x:v>CPA</x:v>
      </x:c>
      <x:c r="D24" s="27" t="str">
        <x:v>Profesional Adjunto - Conicet</x:v>
      </x:c>
      <x:c r="E24" s="27" t="str">
        <x:v>Servicios / Apoyo Técnico</x:v>
      </x:c>
      <x:c r="F24" s="27" t="str"/>
      <x:c r="G24" s="27" t="str"/>
      <x:c r="H24" s="27" t="str">
        <x:v>Ingeniero Electrónico</x:v>
      </x:c>
      <x:c r="I24" s="27" t="str">
        <x:v>Los contenidos del CONICET están licenciados bajo Creative Commons Reconocimiento 2.5 Argentina License Ver Registro de Obsequios y Viajes de Funcionarios Ver verificador de recibos IFIBIO Houssay, (UBA-CONICET) Paraguay 2155, 7°piso, (CP: 1121), Ciudad de Buenos Aires, Argentina.</x:v>
      </x:c>
      <x:c r="J24" s="27" t="str">
        <x:v>VALVERDE, ESTEBAN RAUL</x:v>
      </x:c>
      <x:c r="K24" s="27" t="str">
        <x:v>Personal de Apoyo CONICET</x:v>
      </x:c>
      <x:c r="L24" s="27" t="str">
        <x:v>Personal de Apoyo</x:v>
      </x:c>
      <x:c r="M24" s="27" t="str">
        <x:v>CONICET</x:v>
      </x:c>
      <x:c r="N24" s="27" t="str">
        <x:v>PROFESIONAL ADJUNTO</x:v>
      </x:c>
      <x:c r="O24" s="27" t="str">
        <x:v>Servicios / Apoyo Técnico</x:v>
      </x:c>
      <x:c r="P24" s="27" t="str">
        <x:v>Profesional Adjunto</x:v>
      </x:c>
      <x:c r="Q24" s="27" t="str"/>
      <x:c r="R24" s="27" t="str">
        <x:v>https://ifibio-uba.conicet.gov.ar/labs/</x:v>
      </x:c>
      <x:c r="S24" s="27" t="str">
        <x:v>https://ifibio-uba.conicet.gov.ar/personal-del-instituto/cpa/</x:v>
      </x:c>
      <x:c r="T24" s="27" t="str">
        <x:v>2026-09-10</x:v>
      </x:c>
      <x:c r="U24" s="27" t="str"/>
    </x:row>
    <x:row r="25">
      <x:c r="A25" s="27" t="str">
        <x:v>Estefanía Bello</x:v>
      </x:c>
      <x:c r="B25" s="27" t="str">
        <x:v>Actual</x:v>
      </x:c>
      <x:c r="C25" s="27" t="str">
        <x:v>Investigador/a</x:v>
      </x:c>
      <x:c r="D25" s="27" t="str">
        <x:v>Investigadora Asistente - Conicet</x:v>
      </x:c>
      <x:c r="E25" s="27" t="str">
        <x:v>Grupo de Neurociencia de Sistemas</x:v>
      </x:c>
      <x:c r="F25" s="27" t="str">
        <x:v>Fisiología de Circuitos Neuronales</x:v>
      </x:c>
      <x:c r="G25" s="27" t="str">
        <x:v>Gustavo Murer</x:v>
      </x:c>
      <x:c r="H25" s="27" t="str"/>
      <x:c r="I25" s="27" t="str"/>
      <x:c r="J25" s="27" t="str">
        <x:v>BELLO GAY, ESTEFANIA PILAR</x:v>
      </x:c>
      <x:c r="K25" s="27" t="str">
        <x:v>Investigadores CONICET</x:v>
      </x:c>
      <x:c r="L25" s="27" t="str">
        <x:v>Investigador</x:v>
      </x:c>
      <x:c r="M25" s="27" t="str">
        <x:v>CONICET</x:v>
      </x:c>
      <x:c r="N25" s="27" t="str">
        <x:v>INV ADJUNTO</x:v>
      </x:c>
      <x:c r="O25" s="27" t="str">
        <x:v>Grupo de Neurociencia de Sistemas</x:v>
      </x:c>
      <x:c r="P25" s="27" t="str">
        <x:v>Neurofisiología de la Motivación</x:v>
      </x:c>
      <x:c r="Q25" s="27" t="str">
        <x:v>https://www.conicet.gov.ar/new_scp/detalle.php?id=21187&amp;keywords=bernabeu%2Bramon&amp;datos_academicos=yes</x:v>
      </x:c>
      <x:c r="R25" s="27" t="str">
        <x:v>https://ifibio-uba.conicet.gov.ar/labs/murer/</x:v>
      </x:c>
      <x:c r="S25" s="27" t="str">
        <x:v>https://ifibio-uba.conicet.gov.ar/personal-del-instituto/investigadores/</x:v>
      </x:c>
      <x:c r="T25" s="27" t="str">
        <x:v>2026-09-10</x:v>
      </x:c>
      <x:c r="U25" s="27" t="str">
        <x:v>Categoría posiblemente actualizada: planilla=ADJUNTO; web=ASISTENTE</x:v>
      </x:c>
    </x:row>
    <x:row r="26">
      <x:c r="A26" s="27" t="str">
        <x:v>Federico Ochoa</x:v>
      </x:c>
      <x:c r="B26" s="27" t="str">
        <x:v>Actual</x:v>
      </x:c>
      <x:c r="C26" s="27" t="str">
        <x:v>Investigador/a</x:v>
      </x:c>
      <x:c r="D26" s="27" t="str">
        <x:v>Investigador UBA</x:v>
      </x:c>
      <x:c r="E26" s="27" t="str">
        <x:v>Laboratorio de Fisiopatogenia</x:v>
      </x:c>
      <x:c r="F26" s="27" t="str">
        <x:v>Mecanismos del SUH</x:v>
      </x:c>
      <x:c r="G26" s="27" t="str">
        <x:v>Cristina Ibarra</x:v>
      </x:c>
      <x:c r="H26" s="27" t="str"/>
      <x:c r="I26" s="27" t="str"/>
      <x:c r="J26" s="27" t="str">
        <x:v>OCHOA, FEDERICO CLAUDIO</x:v>
      </x:c>
      <x:c r="K26" s="27" t="str">
        <x:v>Personal No CONICET</x:v>
      </x:c>
      <x:c r="L26" s="27" t="str">
        <x:v>Investigador</x:v>
      </x:c>
      <x:c r="M26" s="27" t="str">
        <x:v>NO CONICET</x:v>
      </x:c>
      <x:c r="N26" s="27" t="str">
        <x:v>Investigador</x:v>
      </x:c>
      <x:c r="O26" s="27" t="str">
        <x:v>Laboratorio de Fisiopatogenia</x:v>
      </x:c>
      <x:c r="P26" s="27" t="str">
        <x:v>Mecanismos del SUH</x:v>
      </x:c>
      <x:c r="Q26" s="27" t="str">
        <x:v>https://www.conicet.gov.ar/new_scp/detalle.php?id=48131&amp;keywords=pafundo&amp;datos_academicos=yes</x:v>
      </x:c>
      <x:c r="R26" s="27" t="str">
        <x:v>https://ifibio-uba.conicet.gov.ar/labs/ibarra/</x:v>
      </x:c>
      <x:c r="S26" s="27" t="str">
        <x:v>https://ifibio-uba.conicet.gov.ar/personal-del-instituto/investigadores/</x:v>
      </x:c>
      <x:c r="T26" s="27" t="str">
        <x:v>2026-09-10</x:v>
      </x:c>
      <x:c r="U26" s="27" t="str"/>
    </x:row>
    <x:row r="27">
      <x:c r="A27" s="27" t="str">
        <x:v>Fernando Gómez</x:v>
      </x:c>
      <x:c r="B27" s="27" t="str">
        <x:v>Actual</x:v>
      </x:c>
      <x:c r="C27" s="27" t="str">
        <x:v>Becario/a</x:v>
      </x:c>
      <x:c r="D27" s="27" t="str">
        <x:v>Becario Doctoral - Conicet</x:v>
      </x:c>
      <x:c r="E27" s="27" t="str">
        <x:v>Laboratorio de Fisiopatogenia</x:v>
      </x:c>
      <x:c r="F27" s="27" t="str">
        <x:v>Mecanismos de Toxina Shiga</x:v>
      </x:c>
      <x:c r="G27" s="27" t="str">
        <x:v>Cristina Ibarra</x:v>
      </x:c>
      <x:c r="H27" s="27" t="str"/>
      <x:c r="I27" s="27" t="str"/>
      <x:c r="J27" s="27" t="str">
        <x:v>GOMEZ, FERNANDO DANIEL</x:v>
      </x:c>
      <x:c r="K27" s="27" t="str">
        <x:v>Becarios CONICET</x:v>
      </x:c>
      <x:c r="L27" s="27" t="str">
        <x:v>Becario</x:v>
      </x:c>
      <x:c r="M27" s="27" t="str">
        <x:v>CONICET</x:v>
      </x:c>
      <x:c r="N27" s="27" t="str">
        <x:v>Int. Doctoral Proyectos UE</x:v>
      </x:c>
      <x:c r="O27" s="27" t="str">
        <x:v>Laboratorio de Fisiopatogenia</x:v>
      </x:c>
      <x:c r="P27" s="27" t="str">
        <x:v>Mecanismos de Toxina Shiga</x:v>
      </x:c>
      <x:c r="Q27" s="27" t="str">
        <x:v>https://www.conicet.gov.ar/new_scp/detalle.php?id=65981&amp;keywords=Gomez%2Bacosta&amp;datos_academicos=yes</x:v>
      </x:c>
      <x:c r="R27" s="27" t="str"/>
      <x:c r="S27" s="27" t="str">
        <x:v>https://ifibio-uba.conicet.gov.ar/personal-del-instituto/becarios/</x:v>
      </x:c>
      <x:c r="T27" s="27" t="str">
        <x:v>2026-09-10</x:v>
      </x:c>
      <x:c r="U27" s="27" t="str"/>
    </x:row>
    <x:row r="28">
      <x:c r="A28" s="27" t="str">
        <x:v>Fernando Ibarra</x:v>
      </x:c>
      <x:c r="B28" s="27" t="str">
        <x:v>Actual</x:v>
      </x:c>
      <x:c r="C28" s="27" t="str">
        <x:v>Investigador/a</x:v>
      </x:c>
      <x:c r="D28" s="27" t="str">
        <x:v>Investigador UBA</x:v>
      </x:c>
      <x:c r="E28" s="27" t="str">
        <x:v>Laboratorio de Fisiología Renal</x:v>
      </x:c>
      <x:c r="F28" s="27" t="str"/>
      <x:c r="G28" s="27" t="str">
        <x:v>Claudia Silberstein</x:v>
      </x:c>
      <x:c r="H28" s="27" t="str"/>
      <x:c r="I28" s="27" t="str"/>
      <x:c r="J28" s="27" t="str"/>
      <x:c r="K28" s="27" t="str"/>
      <x:c r="L28" s="27" t="str"/>
      <x:c r="M28" s="27" t="str"/>
      <x:c r="N28" s="27" t="str"/>
      <x:c r="O28" s="27" t="str"/>
      <x:c r="P28" s="27" t="str"/>
      <x:c r="Q28" s="27" t="str">
        <x:v>https://www.conicet.gov.ar/new_scp/detalle.php?id=52825&amp;keywords=kasanetz&amp;datos_academicos=yes</x:v>
      </x:c>
      <x:c r="R28" s="27" t="str">
        <x:v>https://ifibio-uba.conicet.gov.ar/labs/silberstein/</x:v>
      </x:c>
      <x:c r="S28" s="27" t="str">
        <x:v>https://ifibio-uba.conicet.gov.ar/personal-del-instituto/investigadores/</x:v>
      </x:c>
      <x:c r="T28" s="27" t="str">
        <x:v>2026-09-10</x:v>
      </x:c>
      <x:c r="U28" s="27" t="str">
        <x:v>Figura en el sitio oficial actual pero no en la planilla original</x:v>
      </x:c>
    </x:row>
    <x:row r="29">
      <x:c r="A29" s="27" t="str">
        <x:v>Fernando Kasanetz</x:v>
      </x:c>
      <x:c r="B29" s="27" t="str">
        <x:v>Actual</x:v>
      </x:c>
      <x:c r="C29" s="27" t="str">
        <x:v>Investigador/a</x:v>
      </x:c>
      <x:c r="D29" s="27" t="str">
        <x:v>Investigador Adjunto</x:v>
      </x:c>
      <x:c r="E29" s="27" t="str">
        <x:v>Grupo de Neurociencia de Sistemas</x:v>
      </x:c>
      <x:c r="F29" s="27" t="str">
        <x:v>Fisiología del Dolor</x:v>
      </x:c>
      <x:c r="G29" s="27" t="str">
        <x:v>Fernando Kasanetz</x:v>
      </x:c>
      <x:c r="H29" s="27" t="str"/>
      <x:c r="I29" s="27" t="str"/>
      <x:c r="J29" s="27" t="str">
        <x:v>KASANETZ, FERNANDO</x:v>
      </x:c>
      <x:c r="K29" s="27" t="str">
        <x:v>Consejo Directivo; Investigadores CONICET</x:v>
      </x:c>
      <x:c r="L29" s="27" t="str">
        <x:v>Representante Investigador; Investigador</x:v>
      </x:c>
      <x:c r="M29" s="27" t="str">
        <x:v>CONICET</x:v>
      </x:c>
      <x:c r="N29" s="27" t="str">
        <x:v>INV ADJUNTO</x:v>
      </x:c>
      <x:c r="O29" s="27" t="str">
        <x:v>Grupo de Neurociencia de Sistemas</x:v>
      </x:c>
      <x:c r="P29" s="27" t="str">
        <x:v>Fisiología del Dolor</x:v>
      </x:c>
      <x:c r="Q29" s="27" t="str">
        <x:v>https://www.conicet.gov.ar/new_scp/detalle.php?id=28952&amp;keywords=maximiliano%2Bkatz&amp;datos_academicos=yes</x:v>
      </x:c>
      <x:c r="R29" s="27" t="str">
        <x:v>https://ifibio-uba.conicet.gov.ar/labs/kasanetz/</x:v>
      </x:c>
      <x:c r="S29" s="27" t="str">
        <x:v>https://ifibio-uba.conicet.gov.ar/personal-del-instituto/investigadores/</x:v>
      </x:c>
      <x:c r="T29" s="27" t="str">
        <x:v>2026-09-10</x:v>
      </x:c>
      <x:c r="U29" s="27" t="str">
        <x:v>Duplicado en la planilla original (2 filas)</x:v>
      </x:c>
    </x:row>
    <x:row r="30">
      <x:c r="A30" s="27" t="str">
        <x:v>Flavia Sacerdoti</x:v>
      </x:c>
      <x:c r="B30" s="27" t="str">
        <x:v>Actual</x:v>
      </x:c>
      <x:c r="C30" s="27" t="str">
        <x:v>Investigador/a</x:v>
      </x:c>
      <x:c r="D30" s="27" t="str">
        <x:v>Investigadora Adjunta</x:v>
      </x:c>
      <x:c r="E30" s="27" t="str">
        <x:v>Laboratorio de Fisiopatogenia</x:v>
      </x:c>
      <x:c r="F30" s="27" t="str">
        <x:v>Mecanismos del SUH</x:v>
      </x:c>
      <x:c r="G30" s="27" t="str">
        <x:v>Cristina Ibarra</x:v>
      </x:c>
      <x:c r="H30" s="27" t="str"/>
      <x:c r="I30" s="27" t="str"/>
      <x:c r="J30" s="27" t="str">
        <x:v>SACERDOTI, FLAVIA</x:v>
      </x:c>
      <x:c r="K30" s="27" t="str">
        <x:v>Investigadores CONICET</x:v>
      </x:c>
      <x:c r="L30" s="27" t="str">
        <x:v>Investigador</x:v>
      </x:c>
      <x:c r="M30" s="27" t="str">
        <x:v>CONICET</x:v>
      </x:c>
      <x:c r="N30" s="27" t="str">
        <x:v>INV ADJUNTO</x:v>
      </x:c>
      <x:c r="O30" s="27" t="str">
        <x:v>Laboratorio de Fisiopatogenia</x:v>
      </x:c>
      <x:c r="P30" s="27" t="str">
        <x:v>Mecanismos del SUH</x:v>
      </x:c>
      <x:c r="Q30" s="27" t="str"/>
      <x:c r="R30" s="27" t="str">
        <x:v>https://ifibio-uba.conicet.gov.ar/labs/ibarra/</x:v>
      </x:c>
      <x:c r="S30" s="27" t="str">
        <x:v>https://ifibio-uba.conicet.gov.ar/personal-del-instituto/investigadores/</x:v>
      </x:c>
      <x:c r="T30" s="27" t="str">
        <x:v>2026-09-10</x:v>
      </x:c>
      <x:c r="U30" s="27" t="str"/>
    </x:row>
    <x:row r="31">
      <x:c r="A31" s="27" t="str">
        <x:v>Florencia Vassallu</x:v>
      </x:c>
      <x:c r="B31" s="27" t="str">
        <x:v>Actual</x:v>
      </x:c>
      <x:c r="C31" s="27" t="str">
        <x:v>Becario/a</x:v>
      </x:c>
      <x:c r="D31" s="27" t="str">
        <x:v>Becaria Doctoral - Foncyt</x:v>
      </x:c>
      <x:c r="E31" s="27" t="str">
        <x:v>Grupo de Neurociencia de Sistemas</x:v>
      </x:c>
      <x:c r="F31" s="27" t="str">
        <x:v>Fisiopatología Neuronal</x:v>
      </x:c>
      <x:c r="G31" s="27" t="str">
        <x:v>Lionel Muller Igaz</x:v>
      </x:c>
      <x:c r="H31" s="27" t="str"/>
      <x:c r="I31" s="27" t="str">
        <x:v>Los contenidos del CONICET están licenciados bajo Creative Commons Reconocimiento 2.5 Argentina License Ver Registro de Obsequios y Viajes de Funcionarios Ver verificador de recibos IFIBIO Houssay, (UBA-CONICET) Paraguay 2155, 7°piso, (CP: 1121), Ciudad de Buenos Aires, Argentina.</x:v>
      </x:c>
      <x:c r="J31" s="27" t="str">
        <x:v>VASSALLU, MARÍA FLORENCIA</x:v>
      </x:c>
      <x:c r="K31" s="27" t="str">
        <x:v>Personal No CONICET</x:v>
      </x:c>
      <x:c r="L31" s="27" t="str">
        <x:v>Becario</x:v>
      </x:c>
      <x:c r="M31" s="27" t="str">
        <x:v>NO CONICET</x:v>
      </x:c>
      <x:c r="N31" s="27" t="str">
        <x:v>Becario</x:v>
      </x:c>
      <x:c r="O31" s="27" t="str">
        <x:v>Grupo de Neurociencia de Sistemas</x:v>
      </x:c>
      <x:c r="P31" s="27" t="str">
        <x:v>Neurociencias</x:v>
      </x:c>
      <x:c r="Q31" s="27" t="str"/>
      <x:c r="R31" s="27" t="str">
        <x:v>https://ifibio-uba.conicet.gov.ar/labs/</x:v>
      </x:c>
      <x:c r="S31" s="27" t="str">
        <x:v>https://ifibio-uba.conicet.gov.ar/personal-del-instituto/becarios/</x:v>
      </x:c>
      <x:c r="T31" s="27" t="str">
        <x:v>2026-09-10</x:v>
      </x:c>
      <x:c r="U31" s="27" t="str"/>
    </x:row>
    <x:row r="32">
      <x:c r="A32" s="27" t="str">
        <x:v>Germán La Iacona</x:v>
      </x:c>
      <x:c r="B32" s="27" t="str">
        <x:v>Actual</x:v>
      </x:c>
      <x:c r="C32" s="27" t="str">
        <x:v>CPA</x:v>
      </x:c>
      <x:c r="D32" s="27" t="str">
        <x:v>Técnico Principal - Conicet</x:v>
      </x:c>
      <x:c r="E32" s="27" t="str">
        <x:v>Servicios / Apoyo Técnico</x:v>
      </x:c>
      <x:c r="F32" s="27" t="str"/>
      <x:c r="G32" s="27" t="str"/>
      <x:c r="H32" s="27" t="str">
        <x:v>Microscopía</x:v>
      </x:c>
      <x:c r="I32" s="27" t="str"/>
      <x:c r="J32" s="27" t="str">
        <x:v>LA IACONA, GERMAN NICOLAS</x:v>
      </x:c>
      <x:c r="K32" s="27" t="str">
        <x:v>Personal de Apoyo CONICET</x:v>
      </x:c>
      <x:c r="L32" s="27" t="str">
        <x:v>Personal de Apoyo</x:v>
      </x:c>
      <x:c r="M32" s="27" t="str">
        <x:v>CONICET</x:v>
      </x:c>
      <x:c r="N32" s="27" t="str">
        <x:v>TECNICO PRINCIPAL</x:v>
      </x:c>
      <x:c r="O32" s="27" t="str">
        <x:v>Servicios / Apoyo Técnico</x:v>
      </x:c>
      <x:c r="P32" s="27" t="str">
        <x:v>Técnico Principal</x:v>
      </x:c>
      <x:c r="Q32" s="27" t="str">
        <x:v>https://www.conicet.gov.ar/new_scp/detalle.php?id=50543&amp;keywords=lopez%2Bdiaz%2Banalia&amp;datos_academicos=yes</x:v>
      </x:c>
      <x:c r="R32" s="27" t="str"/>
      <x:c r="S32" s="27" t="str">
        <x:v>https://ifibio-uba.conicet.gov.ar/personal-del-instituto/cpa/</x:v>
      </x:c>
      <x:c r="T32" s="27" t="str">
        <x:v>2026-09-10</x:v>
      </x:c>
      <x:c r="U32" s="27" t="str"/>
    </x:row>
    <x:row r="33">
      <x:c r="A33" s="27" t="str">
        <x:v>Gisela Di Giusto</x:v>
      </x:c>
      <x:c r="B33" s="27" t="str">
        <x:v>Actual</x:v>
      </x:c>
      <x:c r="C33" s="27" t="str">
        <x:v>Investigador/a</x:v>
      </x:c>
      <x:c r="D33" s="27" t="str">
        <x:v>Investigadora Adjunta</x:v>
      </x:c>
      <x:c r="E33" s="27" t="str">
        <x:v>Laboratorio de Biomembranas</x:v>
      </x:c>
      <x:c r="F33" s="27" t="str">
        <x:v>Migración Celular</x:v>
      </x:c>
      <x:c r="G33" s="27" t="str">
        <x:v>Gisela Di Giusto</x:v>
      </x:c>
      <x:c r="H33" s="27" t="str"/>
      <x:c r="I33" s="27" t="str"/>
      <x:c r="J33" s="27" t="str">
        <x:v>DI GIUSTO, GISELA</x:v>
      </x:c>
      <x:c r="K33" s="27" t="str">
        <x:v>Consejo Directivo; Investigadores CONICET</x:v>
      </x:c>
      <x:c r="L33" s="27" t="str">
        <x:v>Representante Investigador; Investigador</x:v>
      </x:c>
      <x:c r="M33" s="27" t="str">
        <x:v>CONICET</x:v>
      </x:c>
      <x:c r="N33" s="27" t="str">
        <x:v>INV ADJUNTO</x:v>
      </x:c>
      <x:c r="O33" s="27" t="str">
        <x:v>Laboratorio de Biomembranas</x:v>
      </x:c>
      <x:c r="P33" s="27" t="str">
        <x:v>Migración Celular</x:v>
      </x:c>
      <x:c r="Q33" s="27" t="str">
        <x:v>https://www.conicet.gov.ar/new_scp/detalle.php?id=20210&amp;keywords=paula%2Bfaillace&amp;datos_academicos=yes</x:v>
      </x:c>
      <x:c r="R33" s="27" t="str">
        <x:v>https://ifibio-uba.conicet.gov.ar/labs/biomembranas/</x:v>
      </x:c>
      <x:c r="S33" s="27" t="str">
        <x:v>https://ifibio-uba.conicet.gov.ar/personal-del-instituto/investigadores/</x:v>
      </x:c>
      <x:c r="T33" s="27" t="str">
        <x:v>2026-09-10</x:v>
      </x:c>
      <x:c r="U33" s="27" t="str">
        <x:v>Duplicado en la planilla original (2 filas)</x:v>
      </x:c>
    </x:row>
    <x:row r="34">
      <x:c r="A34" s="27" t="str">
        <x:v>Gustavo Murer</x:v>
      </x:c>
      <x:c r="B34" s="27" t="str">
        <x:v>Actual</x:v>
      </x:c>
      <x:c r="C34" s="27" t="str">
        <x:v>Investigador/a</x:v>
      </x:c>
      <x:c r="D34" s="27" t="str">
        <x:v>Investigador Superior</x:v>
      </x:c>
      <x:c r="E34" s="27" t="str">
        <x:v>Grupo de Neurociencia de Sistemas</x:v>
      </x:c>
      <x:c r="F34" s="27" t="str">
        <x:v>Fisiología de Circuitos Neuronales</x:v>
      </x:c>
      <x:c r="G34" s="27" t="str">
        <x:v>Gustavo Murer</x:v>
      </x:c>
      <x:c r="H34" s="27" t="str"/>
      <x:c r="I34" s="27" t="str"/>
      <x:c r="J34" s="27" t="str">
        <x:v>MURER, MARIO GUSTAVO</x:v>
      </x:c>
      <x:c r="K34" s="27" t="str">
        <x:v>Director / Vicedirector; Investigadores CONICET</x:v>
      </x:c>
      <x:c r="L34" s="27" t="str">
        <x:v>Director; Investigador</x:v>
      </x:c>
      <x:c r="M34" s="27" t="str">
        <x:v>CONICET</x:v>
      </x:c>
      <x:c r="N34" s="27" t="str">
        <x:v>INV SUPERIOR</x:v>
      </x:c>
      <x:c r="O34" s="27" t="str">
        <x:v>Grupo de Neurociencia de Sistemas</x:v>
      </x:c>
      <x:c r="P34" s="27" t="str">
        <x:v>Fisiología de Circuitos Neuronales</x:v>
      </x:c>
      <x:c r="Q34" s="27" t="str">
        <x:v>https://www.conicet.gov.ar/new_scp/detalle.php?id=33035&amp;keywords=vanina%2Bnetti&amp;datos_academicos=yes</x:v>
      </x:c>
      <x:c r="R34" s="27" t="str">
        <x:v>https://ifibio-uba.conicet.gov.ar/labs/murer/</x:v>
      </x:c>
      <x:c r="S34" s="27" t="str">
        <x:v>https://ifibio-uba.conicet.gov.ar/personal-del-instituto/investigadores/</x:v>
      </x:c>
      <x:c r="T34" s="27" t="str">
        <x:v>2026-09-10</x:v>
      </x:c>
      <x:c r="U34" s="27" t="str">
        <x:v>Duplicado en la planilla original (2 filas)</x:v>
      </x:c>
    </x:row>
    <x:row r="35">
      <x:c r="A35" s="27" t="str">
        <x:v>Iván Álvarez Mendoza</x:v>
      </x:c>
      <x:c r="B35" s="27" t="str">
        <x:v>Actual</x:v>
      </x:c>
      <x:c r="C35" s="27" t="str">
        <x:v>Becario/a</x:v>
      </x:c>
      <x:c r="D35" s="27" t="str">
        <x:v>Becario Doctoral - Foncyt</x:v>
      </x:c>
      <x:c r="E35" s="27" t="str">
        <x:v>Grupo de Neurociencia de Sistemas</x:v>
      </x:c>
      <x:c r="F35" s="27" t="str">
        <x:v>Genética del Aprendizaje</x:v>
      </x:c>
      <x:c r="G35" s="27" t="str">
        <x:v>Rafael Pagani</x:v>
      </x:c>
      <x:c r="H35" s="27" t="str"/>
      <x:c r="I35" s="27" t="str"/>
      <x:c r="J35" s="27" t="str"/>
      <x:c r="K35" s="27" t="str"/>
      <x:c r="L35" s="27" t="str"/>
      <x:c r="M35" s="27" t="str"/>
      <x:c r="N35" s="27" t="str"/>
      <x:c r="O35" s="27" t="str"/>
      <x:c r="P35" s="27" t="str"/>
      <x:c r="Q35" s="27" t="str">
        <x:v>https://www.conicet.gov.ar/new_scp/detalle.php?id=60535&amp;keywords=celi%2Bcastillo&amp;datos_academicos=yes</x:v>
      </x:c>
      <x:c r="R35" s="27" t="str"/>
      <x:c r="S35" s="27" t="str">
        <x:v>https://ifibio-uba.conicet.gov.ar/personal-del-instituto/becarios/</x:v>
      </x:c>
      <x:c r="T35" s="27" t="str">
        <x:v>2026-09-10</x:v>
      </x:c>
      <x:c r="U35" s="27" t="str">
        <x:v>Figura en el sitio oficial actual pero no en la planilla original</x:v>
      </x:c>
    </x:row>
    <x:row r="36">
      <x:c r="A36" s="27" t="str">
        <x:v>Javier Fotti</x:v>
      </x:c>
      <x:c r="B36" s="27" t="str">
        <x:v>Actual</x:v>
      </x:c>
      <x:c r="C36" s="27" t="str">
        <x:v>Becario/a</x:v>
      </x:c>
      <x:c r="D36" s="27" t="str">
        <x:v>Becario Doctoral - Foncyt</x:v>
      </x:c>
      <x:c r="E36" s="27" t="str">
        <x:v>Grupo de Neurociencia de Sistemas</x:v>
      </x:c>
      <x:c r="F36" s="27" t="str">
        <x:v>Formación de Redes Neurales</x:v>
      </x:c>
      <x:c r="G36" s="27" t="str">
        <x:v>Lorena Rela</x:v>
      </x:c>
      <x:c r="H36" s="27" t="str"/>
      <x:c r="I36" s="27" t="str"/>
      <x:c r="J36" s="27" t="str">
        <x:v>FOTTI, JAVIER HERNÁN</x:v>
      </x:c>
      <x:c r="K36" s="27" t="str">
        <x:v>Becarios CONICET; Personal No CONICET</x:v>
      </x:c>
      <x:c r="L36" s="27" t="str">
        <x:v>Becario</x:v>
      </x:c>
      <x:c r="M36" s="27" t="str">
        <x:v>CONICET; NO CONICET</x:v>
      </x:c>
      <x:c r="N36" s="27" t="str">
        <x:v>INTERNA DE FIN DE DOCTORADO; Becario</x:v>
      </x:c>
      <x:c r="O36" s="27" t="str">
        <x:v>Grupo de Neurociencia de Sistemas</x:v>
      </x:c>
      <x:c r="P36" s="27" t="str">
        <x:v>Formación de Redes Neurales / Olfato; Formación de Redes Neurales</x:v>
      </x:c>
      <x:c r="Q36" s="27" t="str">
        <x:v>https://www.conicet.gov.ar/new_scp/detalle.php?id=57143&amp;keywords=fulginiti&amp;datos_academicos=yes</x:v>
      </x:c>
      <x:c r="R36" s="27" t="str"/>
      <x:c r="S36" s="27" t="str">
        <x:v>https://ifibio-uba.conicet.gov.ar/personal-del-instituto/becarios/</x:v>
      </x:c>
      <x:c r="T36" s="27" t="str">
        <x:v>2026-09-10</x:v>
      </x:c>
      <x:c r="U36" s="27" t="str">
        <x:v>Duplicado en la planilla original (2 filas)</x:v>
      </x:c>
    </x:row>
    <x:row r="37">
      <x:c r="A37" s="27" t="str">
        <x:v>Jorge Goldstein</x:v>
      </x:c>
      <x:c r="B37" s="27" t="str">
        <x:v>Actual</x:v>
      </x:c>
      <x:c r="C37" s="27" t="str">
        <x:v>Investigador/a</x:v>
      </x:c>
      <x:c r="D37" s="27" t="str">
        <x:v>Investigador Independiente</x:v>
      </x:c>
      <x:c r="E37" s="27" t="str">
        <x:v>Laboratorio de Neurofisiopatología</x:v>
      </x:c>
      <x:c r="F37" s="27" t="str">
        <x:v>Neurofisiopatología</x:v>
      </x:c>
      <x:c r="G37" s="27" t="str">
        <x:v>Jorge Goldstein</x:v>
      </x:c>
      <x:c r="H37" s="27" t="str"/>
      <x:c r="I37" s="27" t="str"/>
      <x:c r="J37" s="27" t="str">
        <x:v>GOLDSTEIN RAIJ, JORGE</x:v>
      </x:c>
      <x:c r="K37" s="27" t="str">
        <x:v>Investigadores CONICET</x:v>
      </x:c>
      <x:c r="L37" s="27" t="str">
        <x:v>Investigador</x:v>
      </x:c>
      <x:c r="M37" s="27" t="str">
        <x:v>CONICET</x:v>
      </x:c>
      <x:c r="N37" s="27" t="str">
        <x:v>INV INDEPENDIENTE</x:v>
      </x:c>
      <x:c r="O37" s="27" t="str">
        <x:v>Laboratorio de Neurofisiopatología</x:v>
      </x:c>
      <x:c r="P37" s="27" t="str">
        <x:v>Neurofisiopatología</x:v>
      </x:c>
      <x:c r="Q37" s="27" t="str">
        <x:v>https://www.conicet.gov.ar/new_scp/detalle.php?id=36593&amp;keywords=cristina%2Bibarra&amp;datos_academicos=yes</x:v>
      </x:c>
      <x:c r="R37" s="27" t="str">
        <x:v>https://ifibio-uba.conicet.gov.ar/labs/goldstein/</x:v>
      </x:c>
      <x:c r="S37" s="27" t="str">
        <x:v>https://ifibio-uba.conicet.gov.ar/personal-del-instituto/investigadores/</x:v>
      </x:c>
      <x:c r="T37" s="27" t="str">
        <x:v>2026-09-10</x:v>
      </x:c>
      <x:c r="U37" s="27" t="str"/>
    </x:row>
    <x:row r="38">
      <x:c r="A38" s="27" t="str">
        <x:v>Juan Belforte</x:v>
      </x:c>
      <x:c r="B38" s="27" t="str">
        <x:v>Actual</x:v>
      </x:c>
      <x:c r="C38" s="27" t="str">
        <x:v>Investigador/a</x:v>
      </x:c>
      <x:c r="D38" s="27" t="str">
        <x:v>Investigador Independiente - Conicet</x:v>
      </x:c>
      <x:c r="E38" s="27" t="str">
        <x:v>Grupo de Neurociencia de Sistemas</x:v>
      </x:c>
      <x:c r="F38" s="27" t="str">
        <x:v>Fisiología de la Conducta Animal</x:v>
      </x:c>
      <x:c r="G38" s="27" t="str">
        <x:v>Juan Belforte</x:v>
      </x:c>
      <x:c r="H38" s="27" t="str"/>
      <x:c r="I38" s="27" t="str"/>
      <x:c r="J38" s="27" t="str">
        <x:v>BELFORTE, JUAN EMILIO</x:v>
      </x:c>
      <x:c r="K38" s="27" t="str">
        <x:v>Director / Vicedirector; Investigadores CONICET</x:v>
      </x:c>
      <x:c r="L38" s="27" t="str">
        <x:v>Vicedirector; Investigador</x:v>
      </x:c>
      <x:c r="M38" s="27" t="str">
        <x:v>CONICET</x:v>
      </x:c>
      <x:c r="N38" s="27" t="str">
        <x:v>INV INDEPENDIENTE</x:v>
      </x:c>
      <x:c r="O38" s="27" t="str">
        <x:v>Grupo de Neurociencia de Sistemas</x:v>
      </x:c>
      <x:c r="P38" s="27" t="str">
        <x:v>Fisiología de la Conducta Animal</x:v>
      </x:c>
      <x:c r="Q38" s="27" t="str">
        <x:v>https://www.conicet.gov.ar/new_scp/detalle.php?id=37250&amp;keywords=bello%2Bestefania&amp;datos_academicos=yes</x:v>
      </x:c>
      <x:c r="R38" s="27" t="str">
        <x:v>https://ifibio-uba.conicet.gov.ar/labs/belforte/</x:v>
      </x:c>
      <x:c r="S38" s="27" t="str">
        <x:v>https://ifibio-uba.conicet.gov.ar/personal-del-instituto/investigadores/</x:v>
      </x:c>
      <x:c r="T38" s="27" t="str">
        <x:v>2026-09-10</x:v>
      </x:c>
      <x:c r="U38" s="27" t="str">
        <x:v>Duplicado en la planilla original (2 filas)</x:v>
      </x:c>
    </x:row>
    <x:row r="39">
      <x:c r="A39" s="27" t="str">
        <x:v>Juan Casal</x:v>
      </x:c>
      <x:c r="B39" s="27" t="str">
        <x:v>Actual</x:v>
      </x:c>
      <x:c r="C39" s="27" t="str">
        <x:v>CPA</x:v>
      </x:c>
      <x:c r="D39" s="27" t="str">
        <x:v>Profesional Asistente - Conicet</x:v>
      </x:c>
      <x:c r="E39" s="27" t="str">
        <x:v>Servicios / Apoyo Técnico</x:v>
      </x:c>
      <x:c r="F39" s="27" t="str"/>
      <x:c r="G39" s="27" t="str"/>
      <x:c r="H39" s="27" t="str">
        <x:v>Bioinformática</x:v>
      </x:c>
      <x:c r="I39" s="27" t="str"/>
      <x:c r="J39" s="27" t="str">
        <x:v>CASAL, JUAN JOSÉ</x:v>
      </x:c>
      <x:c r="K39" s="27" t="str">
        <x:v>Personal de Apoyo CONICET</x:v>
      </x:c>
      <x:c r="L39" s="27" t="str">
        <x:v>Personal de Apoyo</x:v>
      </x:c>
      <x:c r="M39" s="27" t="str">
        <x:v>CONICET</x:v>
      </x:c>
      <x:c r="N39" s="27" t="str">
        <x:v>PROFESIONAL ASISTEN.</x:v>
      </x:c>
      <x:c r="O39" s="27" t="str">
        <x:v>Servicios / Apoyo Técnico</x:v>
      </x:c>
      <x:c r="P39" s="27" t="str">
        <x:v>Profesional Asistente</x:v>
      </x:c>
      <x:c r="Q39" s="27" t="str">
        <x:v>https://www.conicet.gov.ar/new_scp/detalle.php?id=64599&amp;keywords=lucia%2Bgarbini&amp;datos_academicos=yes</x:v>
      </x:c>
      <x:c r="R39" s="27" t="str"/>
      <x:c r="S39" s="27" t="str">
        <x:v>https://ifibio-uba.conicet.gov.ar/personal-del-instituto/cpa/</x:v>
      </x:c>
      <x:c r="T39" s="27" t="str">
        <x:v>2026-09-10</x:v>
      </x:c>
      <x:c r="U39" s="27" t="str"/>
    </x:row>
    <x:row r="40">
      <x:c r="A40" s="27" t="str">
        <x:v>Juan Sterba</x:v>
      </x:c>
      <x:c r="B40" s="27" t="str">
        <x:v>Actual</x:v>
      </x:c>
      <x:c r="C40" s="27" t="str">
        <x:v>Becario/a</x:v>
      </x:c>
      <x:c r="D40" s="27" t="str">
        <x:v>Becario de Grado - UBA</x:v>
      </x:c>
      <x:c r="E40" s="27" t="str">
        <x:v>Laboratorio de Biomembranas</x:v>
      </x:c>
      <x:c r="F40" s="27" t="str"/>
      <x:c r="G40" s="27" t="str">
        <x:v>Claudia Capurro</x:v>
      </x:c>
      <x:c r="H40" s="27" t="str"/>
      <x:c r="I40" s="27" t="str"/>
      <x:c r="J40" s="27" t="str"/>
      <x:c r="K40" s="27" t="str"/>
      <x:c r="L40" s="27" t="str"/>
      <x:c r="M40" s="27" t="str"/>
      <x:c r="N40" s="27" t="str"/>
      <x:c r="O40" s="27" t="str"/>
      <x:c r="P40" s="27" t="str"/>
      <x:c r="Q40" s="27" t="str">
        <x:v>https://www.conicet.gov.ar/new_scp/detalle.php?id=62334&amp;keywords=trujillo&amp;datos_academicos=yes</x:v>
      </x:c>
      <x:c r="R40" s="27" t="str"/>
      <x:c r="S40" s="27" t="str">
        <x:v>https://ifibio-uba.conicet.gov.ar/personal-del-instituto/becarios/</x:v>
      </x:c>
      <x:c r="T40" s="27" t="str">
        <x:v>2026-09-10</x:v>
      </x:c>
      <x:c r="U40" s="27" t="str">
        <x:v>Figura en el sitio oficial actual pero no en la planilla original</x:v>
      </x:c>
    </x:row>
    <x:row r="41">
      <x:c r="A41" s="27" t="str">
        <x:v>Leandro Rocco</x:v>
      </x:c>
      <x:c r="B41" s="27" t="str">
        <x:v>Actual</x:v>
      </x:c>
      <x:c r="C41" s="27" t="str">
        <x:v>Becario/a</x:v>
      </x:c>
      <x:c r="D41" s="27" t="str">
        <x:v>Auxiliar docente</x:v>
      </x:c>
      <x:c r="E41" s="27" t="str">
        <x:v>Grupo de Pez Cebra</x:v>
      </x:c>
      <x:c r="F41" s="27" t="str"/>
      <x:c r="G41" s="27" t="str"/>
      <x:c r="H41" s="27" t="str"/>
      <x:c r="I41" s="27" t="str"/>
      <x:c r="J41" s="27" t="str">
        <x:v>ROCCO, LEANDRO CARLOS CATRIEL</x:v>
      </x:c>
      <x:c r="K41" s="27" t="str">
        <x:v>Becarios CONICET</x:v>
      </x:c>
      <x:c r="L41" s="27" t="str">
        <x:v>Becario</x:v>
      </x:c>
      <x:c r="M41" s="27" t="str">
        <x:v>CONICET</x:v>
      </x:c>
      <x:c r="N41" s="27" t="str">
        <x:v>INTERNA DE FIN DE DOCTORADO</x:v>
      </x:c>
      <x:c r="O41" s="27" t="str">
        <x:v>Grupo de Neurociencia de Sistemas</x:v>
      </x:c>
      <x:c r="P41" s="27" t="str">
        <x:v>Neurociencias</x:v>
      </x:c>
      <x:c r="Q41" s="27" t="str">
        <x:v>https://www.conicet.gov.ar/new_scp/detalle.php?id=65041&amp;keywords=sierra%2Bmat%C3%ADas%2Bmatias&amp;datos_academicos=yes</x:v>
      </x:c>
      <x:c r="R41" s="27" t="str"/>
      <x:c r="S41" s="27" t="str">
        <x:v>https://ifibio-uba.conicet.gov.ar/personal-del-instituto/becarios/</x:v>
      </x:c>
      <x:c r="T41" s="27" t="str">
        <x:v>2026-09-10</x:v>
      </x:c>
      <x:c r="U41" s="27" t="str">
        <x:v>Laboratorio/grupo actual no coincide con la planilla original</x:v>
      </x:c>
    </x:row>
    <x:row r="42">
      <x:c r="A42" s="27" t="str">
        <x:v>Leslie Spring Valdivia Torres</x:v>
      </x:c>
      <x:c r="B42" s="27" t="str">
        <x:v>Actual</x:v>
      </x:c>
      <x:c r="C42" s="27" t="str">
        <x:v>Investigador/a</x:v>
      </x:c>
      <x:c r="D42" s="27" t="str">
        <x:v>Investigadora Asistente - Conicet</x:v>
      </x:c>
      <x:c r="E42" s="27" t="str">
        <x:v>Grupo de Neurociencia de Sistemas</x:v>
      </x:c>
      <x:c r="F42" s="27" t="str">
        <x:v>Fisiología del Dolor</x:v>
      </x:c>
      <x:c r="G42" s="27" t="str">
        <x:v>Fernando Kasanetz</x:v>
      </x:c>
      <x:c r="H42" s="27" t="str"/>
      <x:c r="I42" s="27" t="str"/>
      <x:c r="J42" s="27" t="str">
        <x:v>VALDIVIA TORRES, LESLY SPRING</x:v>
      </x:c>
      <x:c r="K42" s="27" t="str">
        <x:v>Investigadores CONICET</x:v>
      </x:c>
      <x:c r="L42" s="27" t="str">
        <x:v>Investigador</x:v>
      </x:c>
      <x:c r="M42" s="27" t="str">
        <x:v>CONICET</x:v>
      </x:c>
      <x:c r="N42" s="27" t="str">
        <x:v>INV ASISTENTE</x:v>
      </x:c>
      <x:c r="O42" s="27" t="str">
        <x:v>Grupo de Neurociencia de Sistemas</x:v>
      </x:c>
      <x:c r="P42" s="27" t="str">
        <x:v>Desórdenes Neurológicos y Psiquiátricos</x:v>
      </x:c>
      <x:c r="Q42" s="27" t="str">
        <x:v>https://www.conicet.gov.ar/new_scp/detalle.php?id=60578&amp;keywords=andres%2Bvarani&amp;datos_academicos=yes</x:v>
      </x:c>
      <x:c r="R42" s="27" t="str">
        <x:v>https://ifibio-uba.conicet.gov.ar/labs/kasanetz/</x:v>
      </x:c>
      <x:c r="S42" s="27" t="str">
        <x:v>https://ifibio-uba.conicet.gov.ar/personal-del-instituto/investigadores/</x:v>
      </x:c>
      <x:c r="T42" s="27" t="str">
        <x:v>2026-09-10</x:v>
      </x:c>
      <x:c r="U42" s="27" t="str"/>
    </x:row>
    <x:row r="43">
      <x:c r="A43" s="27" t="str">
        <x:v>Lionel Muller Igaz</x:v>
      </x:c>
      <x:c r="B43" s="27" t="str">
        <x:v>Actual</x:v>
      </x:c>
      <x:c r="C43" s="27" t="str">
        <x:v>Investigador/a</x:v>
      </x:c>
      <x:c r="D43" s="27" t="str">
        <x:v>Investigador Independiente</x:v>
      </x:c>
      <x:c r="E43" s="27" t="str">
        <x:v>Grupo de Neurociencia de Sistemas</x:v>
      </x:c>
      <x:c r="F43" s="27" t="str">
        <x:v>Fisiopatología Neuronal</x:v>
      </x:c>
      <x:c r="G43" s="27" t="str">
        <x:v>Lionel Muller Igaz</x:v>
      </x:c>
      <x:c r="H43" s="27" t="str"/>
      <x:c r="I43" s="27" t="str"/>
      <x:c r="J43" s="27" t="str">
        <x:v>MÜLLER IGAZ, LIONEL IVAN</x:v>
      </x:c>
      <x:c r="K43" s="27" t="str">
        <x:v>Investigadores CONICET</x:v>
      </x:c>
      <x:c r="L43" s="27" t="str">
        <x:v>Investigador</x:v>
      </x:c>
      <x:c r="M43" s="27" t="str">
        <x:v>CONICET</x:v>
      </x:c>
      <x:c r="N43" s="27" t="str">
        <x:v>INV INDEPENDIENTE</x:v>
      </x:c>
      <x:c r="O43" s="27" t="str">
        <x:v>Grupo de Neurociencia de Sistemas</x:v>
      </x:c>
      <x:c r="P43" s="27" t="str">
        <x:v>Fisiopatología Neuronal</x:v>
      </x:c>
      <x:c r="Q43" s="27" t="str">
        <x:v>https://www.conicet.gov.ar/new_scp/detalle.php?id=22280&amp;keywords=murer&amp;datos_academicos=yes</x:v>
      </x:c>
      <x:c r="R43" s="27" t="str">
        <x:v>https://ifibio-uba.conicet.gov.ar/labs/igaz/</x:v>
      </x:c>
      <x:c r="S43" s="27" t="str">
        <x:v>https://ifibio-uba.conicet.gov.ar/personal-del-instituto/investigadores/</x:v>
      </x:c>
      <x:c r="T43" s="27" t="str">
        <x:v>2026-09-10</x:v>
      </x:c>
      <x:c r="U43" s="27" t="str"/>
    </x:row>
    <x:row r="44">
      <x:c r="A44" s="27" t="str">
        <x:v>Lorena Rela</x:v>
      </x:c>
      <x:c r="B44" s="27" t="str">
        <x:v>Actual</x:v>
      </x:c>
      <x:c r="C44" s="27" t="str">
        <x:v>Investigador/a</x:v>
      </x:c>
      <x:c r="D44" s="27" t="str">
        <x:v>Investigadora Independiente</x:v>
      </x:c>
      <x:c r="E44" s="27" t="str">
        <x:v>Grupo de Neurociencia de Sistemas</x:v>
      </x:c>
      <x:c r="F44" s="27" t="str">
        <x:v>Formación de Redes Neurales</x:v>
      </x:c>
      <x:c r="G44" s="27" t="str">
        <x:v>Lorena Rela</x:v>
      </x:c>
      <x:c r="H44" s="27" t="str"/>
      <x:c r="I44" s="27" t="str"/>
      <x:c r="J44" s="27" t="str">
        <x:v>RELA, LORENA</x:v>
      </x:c>
      <x:c r="K44" s="27" t="str">
        <x:v>Investigadores CONICET</x:v>
      </x:c>
      <x:c r="L44" s="27" t="str">
        <x:v>Investigador</x:v>
      </x:c>
      <x:c r="M44" s="27" t="str">
        <x:v>CONICET</x:v>
      </x:c>
      <x:c r="N44" s="27" t="str">
        <x:v>INV INDEPENDIENTE</x:v>
      </x:c>
      <x:c r="O44" s="27" t="str">
        <x:v>Grupo de Neurociencia de Sistemas</x:v>
      </x:c>
      <x:c r="P44" s="27" t="str">
        <x:v>Formación de Redes Neurales</x:v>
      </x:c>
      <x:c r="Q44" s="27" t="str">
        <x:v>https://www.conicet.gov.ar/new_scp/detalle.php?id=20821&amp;keywords=valeria%2Brivarola&amp;datos_academicos=yes</x:v>
      </x:c>
      <x:c r="R44" s="27" t="str">
        <x:v>https://ifibio-uba.conicet.gov.ar/labs/rela/</x:v>
      </x:c>
      <x:c r="S44" s="27" t="str">
        <x:v>https://ifibio-uba.conicet.gov.ar/personal-del-instituto/investigadores/</x:v>
      </x:c>
      <x:c r="T44" s="27" t="str">
        <x:v>2026-09-10</x:v>
      </x:c>
      <x:c r="U44" s="27" t="str"/>
    </x:row>
    <x:row r="45">
      <x:c r="A45" s="27" t="str">
        <x:v>Lucía Garbini</x:v>
      </x:c>
      <x:c r="B45" s="27" t="str">
        <x:v>Actual</x:v>
      </x:c>
      <x:c r="C45" s="27" t="str">
        <x:v>CPA</x:v>
      </x:c>
      <x:c r="D45" s="27" t="str">
        <x:v>Técnica Asistente - Conicet</x:v>
      </x:c>
      <x:c r="E45" s="27" t="str">
        <x:v>Servicios / Apoyo Técnico</x:v>
      </x:c>
      <x:c r="F45" s="27" t="str"/>
      <x:c r="G45" s="27" t="str"/>
      <x:c r="H45" s="27" t="str">
        <x:v>Bioterista</x:v>
      </x:c>
      <x:c r="I45" s="27" t="str"/>
      <x:c r="J45" s="27" t="str">
        <x:v>GARBINI, LUCÍA MARÍA</x:v>
      </x:c>
      <x:c r="K45" s="27" t="str">
        <x:v>Personal de Apoyo CONICET</x:v>
      </x:c>
      <x:c r="L45" s="27" t="str">
        <x:v>Personal de Apoyo</x:v>
      </x:c>
      <x:c r="M45" s="27" t="str">
        <x:v>CONICET</x:v>
      </x:c>
      <x:c r="N45" s="27" t="str">
        <x:v>TECNICO ASISTENTE</x:v>
      </x:c>
      <x:c r="O45" s="27" t="str">
        <x:v>Servicios / Apoyo Técnico</x:v>
      </x:c>
      <x:c r="P45" s="27" t="str">
        <x:v>Técnico Asistente</x:v>
      </x:c>
      <x:c r="Q45" s="27" t="str">
        <x:v>https://www.conicet.gov.ar/new_scp/detalle.php?id=52433&amp;keywords=b%C3%A1rbara%2Bbarbara%2Bgiugovaz&amp;datos_academicos=yes</x:v>
      </x:c>
      <x:c r="R45" s="27" t="str"/>
      <x:c r="S45" s="27" t="str">
        <x:v>https://ifibio-uba.conicet.gov.ar/personal-del-instituto/cpa/</x:v>
      </x:c>
      <x:c r="T45" s="27" t="str">
        <x:v>2026-09-10</x:v>
      </x:c>
      <x:c r="U45" s="27" t="str"/>
    </x:row>
    <x:row r="46">
      <x:c r="A46" s="27" t="str">
        <x:v>María Jesús Trujillo</x:v>
      </x:c>
      <x:c r="B46" s="27" t="str">
        <x:v>Actual</x:v>
      </x:c>
      <x:c r="C46" s="27" t="str">
        <x:v>Becario/a</x:v>
      </x:c>
      <x:c r="D46" s="27" t="str">
        <x:v>Becaria Doctoral - Conicet</x:v>
      </x:c>
      <x:c r="E46" s="27" t="str">
        <x:v>Grupo de Neurociencia de Sistemas</x:v>
      </x:c>
      <x:c r="F46" s="27" t="str">
        <x:v>Fisiología del Dolor</x:v>
      </x:c>
      <x:c r="G46" s="27" t="str">
        <x:v>Fernando Kasanetz</x:v>
      </x:c>
      <x:c r="H46" s="27" t="str"/>
      <x:c r="I46" s="27" t="str"/>
      <x:c r="J46" s="27" t="str">
        <x:v>TRUJILLO, MARÍA JESÚS</x:v>
      </x:c>
      <x:c r="K46" s="27" t="str">
        <x:v>Becarios CONICET</x:v>
      </x:c>
      <x:c r="L46" s="27" t="str">
        <x:v>Becario</x:v>
      </x:c>
      <x:c r="M46" s="27" t="str">
        <x:v>CONICET</x:v>
      </x:c>
      <x:c r="N46" s="27" t="str">
        <x:v>BECA INTERNA DOCTORAL</x:v>
      </x:c>
      <x:c r="O46" s="27" t="str">
        <x:v>Grupo de Neurociencia de Sistemas</x:v>
      </x:c>
      <x:c r="P46" s="27" t="str">
        <x:v>Neurociencias</x:v>
      </x:c>
      <x:c r="Q46" s="27" t="str"/>
      <x:c r="R46" s="27" t="str"/>
      <x:c r="S46" s="27" t="str">
        <x:v>https://ifibio-uba.conicet.gov.ar/personal-del-instituto/becarios/</x:v>
      </x:c>
      <x:c r="T46" s="27" t="str">
        <x:v>2026-09-10</x:v>
      </x:c>
      <x:c r="U46" s="27" t="str"/>
    </x:row>
    <x:row r="47">
      <x:c r="A47" s="27" t="str">
        <x:v>María Luján Costanzo</x:v>
      </x:c>
      <x:c r="B47" s="27" t="str">
        <x:v>Actual</x:v>
      </x:c>
      <x:c r="C47" s="27" t="str">
        <x:v>Gestión/administración</x:v>
      </x:c>
      <x:c r="D47" s="27" t="str">
        <x:v>Secretaría IFIBIO Houssay</x:v>
      </x:c>
      <x:c r="E47" s="27" t="str">
        <x:v>Gestión y Administración</x:v>
      </x:c>
      <x:c r="F47" s="27" t="str"/>
      <x:c r="G47" s="27" t="str"/>
      <x:c r="H47" s="27" t="str"/>
      <x:c r="I47" s="27" t="str"/>
      <x:c r="J47" s="27" t="str">
        <x:v>COSTANZO, MARIA LUJAN</x:v>
      </x:c>
      <x:c r="K47" s="27" t="str">
        <x:v>Personal de Gestión CONICET</x:v>
      </x:c>
      <x:c r="L47" s="27" t="str">
        <x:v>Personal de Gestión</x:v>
      </x:c>
      <x:c r="M47" s="27" t="str">
        <x:v>CONICET</x:v>
      </x:c>
      <x:c r="N47" s="27" t="str">
        <x:v>GRAL. CONT. ART9C06</x:v>
      </x:c>
      <x:c r="O47" s="27" t="str">
        <x:v>Gestión y Administración</x:v>
      </x:c>
      <x:c r="P47" s="27" t="str">
        <x:v>Personal de Gestión</x:v>
      </x:c>
      <x:c r="Q47" s="27" t="str"/>
      <x:c r="R47" s="27" t="str"/>
      <x:c r="S47" s="27" t="str">
        <x:v>https://ifibio-uba.conicet.gov.ar/personal-del-instituto/cpa/</x:v>
      </x:c>
      <x:c r="T47" s="27" t="str">
        <x:v>2026-09-10</x:v>
      </x:c>
      <x:c r="U47" s="27" t="str"/>
    </x:row>
    <x:row r="48">
      <x:c r="A48" s="27" t="str">
        <x:v>María Marta Amaral</x:v>
      </x:c>
      <x:c r="B48" s="27" t="str">
        <x:v>Actual</x:v>
      </x:c>
      <x:c r="C48" s="27" t="str">
        <x:v>Investigador/a</x:v>
      </x:c>
      <x:c r="D48" s="27" t="str">
        <x:v>Investigadora Adjunta - Conicet</x:v>
      </x:c>
      <x:c r="E48" s="27" t="str">
        <x:v>Laboratorio de Fisiopatogenia</x:v>
      </x:c>
      <x:c r="F48" s="27" t="str">
        <x:v>Mecanismos del SUH y Toxina Shiga</x:v>
      </x:c>
      <x:c r="G48" s="27" t="str">
        <x:v>Cristina Ibarra</x:v>
      </x:c>
      <x:c r="H48" s="27" t="str"/>
      <x:c r="I48" s="27" t="str"/>
      <x:c r="J48" s="27" t="str">
        <x:v>AMARAL, MARÍA MARTA</x:v>
      </x:c>
      <x:c r="K48" s="27" t="str">
        <x:v>Investigadores CONICET</x:v>
      </x:c>
      <x:c r="L48" s="27" t="str">
        <x:v>Investigador</x:v>
      </x:c>
      <x:c r="M48" s="27" t="str">
        <x:v>CONICET</x:v>
      </x:c>
      <x:c r="N48" s="27" t="str">
        <x:v>INV INDEPENDIENTE</x:v>
      </x:c>
      <x:c r="O48" s="27" t="str">
        <x:v>Laboratorio de Fisiopatogenia</x:v>
      </x:c>
      <x:c r="P48" s="27" t="str">
        <x:v>Mecanismos del SUH y Toxina Shiga</x:v>
      </x:c>
      <x:c r="Q48" s="27" t="str">
        <x:v>https://www.conicet.gov.ar/new_scp/detalle.php?id=29783&amp;keywords=belforte&amp;datos_academicos=yes</x:v>
      </x:c>
      <x:c r="R48" s="27" t="str">
        <x:v>https://ifibio-uba.conicet.gov.ar/labs/ibarra/</x:v>
      </x:c>
      <x:c r="S48" s="27" t="str">
        <x:v>https://ifibio-uba.conicet.gov.ar/personal-del-instituto/investigadores/</x:v>
      </x:c>
      <x:c r="T48" s="27" t="str">
        <x:v>2026-09-10</x:v>
      </x:c>
      <x:c r="U48" s="27" t="str"/>
    </x:row>
    <x:row r="49">
      <x:c r="A49" s="27" t="str">
        <x:v>Mariano Blake</x:v>
      </x:c>
      <x:c r="B49" s="27" t="str">
        <x:v>Actual</x:v>
      </x:c>
      <x:c r="C49" s="27" t="str">
        <x:v>Investigador/a</x:v>
      </x:c>
      <x:c r="D49" s="27" t="str">
        <x:v>Investigador Adjunto - Conicet</x:v>
      </x:c>
      <x:c r="E49" s="27" t="str">
        <x:v>Laboratorio de Neuropsicología de la Performance</x:v>
      </x:c>
      <x:c r="F49" s="27" t="str">
        <x:v>Neuropsicología de la Performance</x:v>
      </x:c>
      <x:c r="G49" s="27" t="str">
        <x:v>Mariano Blake</x:v>
      </x:c>
      <x:c r="H49" s="27" t="str"/>
      <x:c r="I49" s="27" t="str"/>
      <x:c r="J49" s="27" t="str">
        <x:v>BLAKE, MARIANO GUILLERMO</x:v>
      </x:c>
      <x:c r="K49" s="27" t="str">
        <x:v>Investigadores CONICET</x:v>
      </x:c>
      <x:c r="L49" s="27" t="str">
        <x:v>Investigador</x:v>
      </x:c>
      <x:c r="M49" s="27" t="str">
        <x:v>CONICET</x:v>
      </x:c>
      <x:c r="N49" s="27" t="str">
        <x:v>INV ADJUNTO</x:v>
      </x:c>
      <x:c r="O49" s="27" t="str">
        <x:v>Laboratorio Neuropsicología de la Performance</x:v>
      </x:c>
      <x:c r="P49" s="27" t="str">
        <x:v>Neuropsicología de la Performance</x:v>
      </x:c>
      <x:c r="Q49" s="27" t="str">
        <x:v>https://www.conicet.gov.ar/new_scp/detalle.php?id=29676&amp;keywords=capurro%2Bclaudia&amp;datos_academicos=yes</x:v>
      </x:c>
      <x:c r="R49" s="27" t="str">
        <x:v>https://ifibio-uba.conicet.gov.ar/labs/blake/</x:v>
      </x:c>
      <x:c r="S49" s="27" t="str">
        <x:v>https://ifibio-uba.conicet.gov.ar/personal-del-instituto/investigadores/</x:v>
      </x:c>
      <x:c r="T49" s="27" t="str">
        <x:v>2026-09-10</x:v>
      </x:c>
      <x:c r="U49" s="27" t="str"/>
    </x:row>
    <x:row r="50">
      <x:c r="A50" s="27" t="str">
        <x:v>Martina Gómez Acosta</x:v>
      </x:c>
      <x:c r="B50" s="27" t="str">
        <x:v>Actual</x:v>
      </x:c>
      <x:c r="C50" s="27" t="str">
        <x:v>Becario/a</x:v>
      </x:c>
      <x:c r="D50" s="27" t="str">
        <x:v>Becaria Doctoral - Conicet</x:v>
      </x:c>
      <x:c r="E50" s="27" t="str">
        <x:v>Grupo de Neurociencia de Sistemas</x:v>
      </x:c>
      <x:c r="F50" s="27" t="str">
        <x:v>Fisiología de la Conducta Animal</x:v>
      </x:c>
      <x:c r="G50" s="27" t="str">
        <x:v>Juan Belforte</x:v>
      </x:c>
      <x:c r="H50" s="27" t="str"/>
      <x:c r="I50" s="27" t="str"/>
      <x:c r="J50" s="27" t="str">
        <x:v>GOMEZ ACOSTA, MARTINA</x:v>
      </x:c>
      <x:c r="K50" s="27" t="str">
        <x:v>Becarios CONICET</x:v>
      </x:c>
      <x:c r="L50" s="27" t="str">
        <x:v>Becario</x:v>
      </x:c>
      <x:c r="M50" s="27" t="str">
        <x:v>CONICET</x:v>
      </x:c>
      <x:c r="N50" s="27" t="str">
        <x:v>BECA INTERNA DOCTORAL</x:v>
      </x:c>
      <x:c r="O50" s="27" t="str">
        <x:v>Grupo de Neurociencia de Sistemas</x:v>
      </x:c>
      <x:c r="P50" s="27" t="str">
        <x:v>Neurociencias</x:v>
      </x:c>
      <x:c r="Q50" s="27" t="str"/>
      <x:c r="R50" s="27" t="str"/>
      <x:c r="S50" s="27" t="str">
        <x:v>https://ifibio-uba.conicet.gov.ar/personal-del-instituto/becarios/</x:v>
      </x:c>
      <x:c r="T50" s="27" t="str">
        <x:v>2026-09-10</x:v>
      </x:c>
      <x:c r="U50" s="27" t="str"/>
    </x:row>
    <x:row r="51">
      <x:c r="A51" s="27" t="str">
        <x:v>Matías Sierra</x:v>
      </x:c>
      <x:c r="B51" s="27" t="str">
        <x:v>Actual</x:v>
      </x:c>
      <x:c r="C51" s="27" t="str">
        <x:v>Becario/a</x:v>
      </x:c>
      <x:c r="D51" s="27" t="str">
        <x:v>Becario Doctoral - Conicet</x:v>
      </x:c>
      <x:c r="E51" s="27" t="str">
        <x:v>Laboratorio de Biología de la Reproducción</x:v>
      </x:c>
      <x:c r="F51" s="27" t="str">
        <x:v>Biofísica de Aquaporinas</x:v>
      </x:c>
      <x:c r="G51" s="27" t="str">
        <x:v>Alicia Damiano</x:v>
      </x:c>
      <x:c r="H51" s="27" t="str"/>
      <x:c r="I51" s="27" t="str"/>
      <x:c r="J51" s="27" t="str">
        <x:v>SIERRA, MATIAS NICOLAS</x:v>
      </x:c>
      <x:c r="K51" s="27" t="str">
        <x:v>Becarios CONICET</x:v>
      </x:c>
      <x:c r="L51" s="27" t="str">
        <x:v>Becario</x:v>
      </x:c>
      <x:c r="M51" s="27" t="str">
        <x:v>CONICET</x:v>
      </x:c>
      <x:c r="N51" s="27" t="str">
        <x:v>BECA INTERNA DOCTORAL</x:v>
      </x:c>
      <x:c r="O51" s="27" t="str">
        <x:v>Laboratorio de Biomembranas</x:v>
      </x:c>
      <x:c r="P51" s="27" t="str">
        <x:v>Biofísica de Aquaporinas</x:v>
      </x:c>
      <x:c r="Q51" s="27" t="str"/>
      <x:c r="R51" s="27" t="str"/>
      <x:c r="S51" s="27" t="str">
        <x:v>https://ifibio-uba.conicet.gov.ar/personal-del-instituto/becarios/</x:v>
      </x:c>
      <x:c r="T51" s="27" t="str">
        <x:v>2026-09-10</x:v>
      </x:c>
      <x:c r="U51" s="27" t="str">
        <x:v>Laboratorio/grupo actual no coincide con la planilla original</x:v>
      </x:c>
    </x:row>
    <x:row r="52">
      <x:c r="A52" s="27" t="str">
        <x:v>Maximiliano Katz</x:v>
      </x:c>
      <x:c r="B52" s="27" t="str">
        <x:v>Actual</x:v>
      </x:c>
      <x:c r="C52" s="27" t="str">
        <x:v>Investigador/a</x:v>
      </x:c>
      <x:c r="D52" s="27" t="str">
        <x:v>Investigador Adjunto</x:v>
      </x:c>
      <x:c r="E52" s="27" t="str">
        <x:v>Grupo de Neurociencia de Sistemas</x:v>
      </x:c>
      <x:c r="F52" s="27" t="str">
        <x:v>Genética de la Comunicación entre Órganos</x:v>
      </x:c>
      <x:c r="G52" s="27" t="str">
        <x:v>Maximiliano Katz</x:v>
      </x:c>
      <x:c r="H52" s="27" t="str"/>
      <x:c r="I52" s="27" t="str"/>
      <x:c r="J52" s="27" t="str">
        <x:v>KATZ, MAXIMILIANO JAVIER</x:v>
      </x:c>
      <x:c r="K52" s="27" t="str">
        <x:v>Investigadores CONICET</x:v>
      </x:c>
      <x:c r="L52" s="27" t="str">
        <x:v>Investigador</x:v>
      </x:c>
      <x:c r="M52" s="27" t="str">
        <x:v>CONICET</x:v>
      </x:c>
      <x:c r="N52" s="27" t="str">
        <x:v>INV ADJUNTO</x:v>
      </x:c>
      <x:c r="O52" s="27" t="str">
        <x:v>Grupo de Neurociencia de Sistemas</x:v>
      </x:c>
      <x:c r="P52" s="27" t="str">
        <x:v>Genética de la Comunicación entre Órganos</x:v>
      </x:c>
      <x:c r="Q52" s="27" t="str">
        <x:v>https://www.conicet.gov.ar/new_scp/detalle.php?id=26074&amp;keywords=nora%2Bmartinez&amp;datos_academicos=yes</x:v>
      </x:c>
      <x:c r="R52" s="27" t="str">
        <x:v>https://ifibio-uba.conicet.gov.ar/labs/katz/</x:v>
      </x:c>
      <x:c r="S52" s="27" t="str">
        <x:v>https://ifibio-uba.conicet.gov.ar/personal-del-instituto/investigadores/</x:v>
      </x:c>
      <x:c r="T52" s="27" t="str">
        <x:v>2026-09-10</x:v>
      </x:c>
      <x:c r="U52" s="27" t="str"/>
    </x:row>
    <x:row r="53">
      <x:c r="A53" s="27" t="str">
        <x:v>Natalia Beltramone</x:v>
      </x:c>
      <x:c r="B53" s="27" t="str">
        <x:v>Actual</x:v>
      </x:c>
      <x:c r="C53" s="27" t="str">
        <x:v>CPA</x:v>
      </x:c>
      <x:c r="D53" s="27" t="str">
        <x:v>Técnica Principal - Conicet</x:v>
      </x:c>
      <x:c r="E53" s="27" t="str">
        <x:v>Servicios / Apoyo Técnico</x:v>
      </x:c>
      <x:c r="F53" s="27" t="str"/>
      <x:c r="G53" s="27" t="str"/>
      <x:c r="H53" s="27" t="str">
        <x:v>Cultivos Celulares</x:v>
      </x:c>
      <x:c r="I53" s="27" t="str"/>
      <x:c r="J53" s="27" t="str">
        <x:v>BELTRAMONE, NATALIA</x:v>
      </x:c>
      <x:c r="K53" s="27" t="str">
        <x:v>Consejo Directivo; Personal de Apoyo CONICET</x:v>
      </x:c>
      <x:c r="L53" s="27" t="str">
        <x:v>Representante Personal de Apoyo; Personal de Apoyo</x:v>
      </x:c>
      <x:c r="M53" s="27" t="str">
        <x:v>CONICET</x:v>
      </x:c>
      <x:c r="N53" s="27" t="str">
        <x:v>TECNICO PRINCIPAL</x:v>
      </x:c>
      <x:c r="O53" s="27" t="str">
        <x:v>Personal de Apoyo (CPA); Servicios / Apoyo Técnico</x:v>
      </x:c>
      <x:c r="P53" s="27" t="str">
        <x:v>Técnico Principal</x:v>
      </x:c>
      <x:c r="Q53" s="27" t="str">
        <x:v>https://www.conicet.gov.ar/new_scp/detalle.php?id=40970&amp;keywords=Juan%2BCasal&amp;datos_academicos=yes</x:v>
      </x:c>
      <x:c r="R53" s="27" t="str"/>
      <x:c r="S53" s="27" t="str">
        <x:v>https://ifibio-uba.conicet.gov.ar/personal-del-instituto/cpa/</x:v>
      </x:c>
      <x:c r="T53" s="27" t="str">
        <x:v>2026-09-10</x:v>
      </x:c>
      <x:c r="U53" s="27" t="str">
        <x:v>Duplicado en la planilla original (2 filas)</x:v>
      </x:c>
    </x:row>
    <x:row r="54">
      <x:c r="A54" s="27" t="str">
        <x:v>Nazarena Fernandez</x:v>
      </x:c>
      <x:c r="B54" s="27" t="str">
        <x:v>Actual</x:v>
      </x:c>
      <x:c r="C54" s="27" t="str">
        <x:v>Becario/a</x:v>
      </x:c>
      <x:c r="D54" s="27" t="str">
        <x:v>Becaria Doctoral - Conicet</x:v>
      </x:c>
      <x:c r="E54" s="27" t="str">
        <x:v>Laboratorio de Biología de la Reproducción</x:v>
      </x:c>
      <x:c r="F54" s="27" t="str">
        <x:v>Biofísica de Aquaporinas</x:v>
      </x:c>
      <x:c r="G54" s="27" t="str">
        <x:v>Alicia Damiano</x:v>
      </x:c>
      <x:c r="H54" s="27" t="str"/>
      <x:c r="I54" s="27" t="str"/>
      <x:c r="J54" s="27" t="str">
        <x:v>FERNANDEZ, NAZARENA SOL</x:v>
      </x:c>
      <x:c r="K54" s="27" t="str">
        <x:v>Becarios CONICET</x:v>
      </x:c>
      <x:c r="L54" s="27" t="str">
        <x:v>Becario</x:v>
      </x:c>
      <x:c r="M54" s="27" t="str">
        <x:v>CONICET</x:v>
      </x:c>
      <x:c r="N54" s="27" t="str">
        <x:v>BECA INTERNA DOCTORAL</x:v>
      </x:c>
      <x:c r="O54" s="27" t="str">
        <x:v>Laboratorio de Biomembranas</x:v>
      </x:c>
      <x:c r="P54" s="27" t="str">
        <x:v>Biofísica de Aquaporinas</x:v>
      </x:c>
      <x:c r="Q54" s="27" t="str"/>
      <x:c r="R54" s="27" t="str"/>
      <x:c r="S54" s="27" t="str">
        <x:v>https://ifibio-uba.conicet.gov.ar/personal-del-instituto/becarios/</x:v>
      </x:c>
      <x:c r="T54" s="27" t="str">
        <x:v>2026-09-10</x:v>
      </x:c>
      <x:c r="U54" s="27" t="str">
        <x:v>Laboratorio/grupo actual no coincide con la planilla original</x:v>
      </x:c>
    </x:row>
    <x:row r="55">
      <x:c r="A55" s="27" t="str">
        <x:v>Nicolás Fulginiti</x:v>
      </x:c>
      <x:c r="B55" s="27" t="str">
        <x:v>Actual</x:v>
      </x:c>
      <x:c r="C55" s="27" t="str">
        <x:v>Becario/a</x:v>
      </x:c>
      <x:c r="D55" s="27" t="str">
        <x:v>Becario Doctoral</x:v>
      </x:c>
      <x:c r="E55" s="27" t="str">
        <x:v>Grupo de Neurociencia de Sistemas</x:v>
      </x:c>
      <x:c r="F55" s="27" t="str">
        <x:v>Bases Neuronales de la Cognición</x:v>
      </x:c>
      <x:c r="G55" s="27" t="str">
        <x:v>Diego Pafundo</x:v>
      </x:c>
      <x:c r="H55" s="27" t="str"/>
      <x:c r="I55" s="27" t="str"/>
      <x:c r="J55" s="27" t="str">
        <x:v>FULGINITI, NICOLÁS MARCELO</x:v>
      </x:c>
      <x:c r="K55" s="27" t="str">
        <x:v>Becarios CONICET</x:v>
      </x:c>
      <x:c r="L55" s="27" t="str">
        <x:v>Becario</x:v>
      </x:c>
      <x:c r="M55" s="27" t="str">
        <x:v>CONICET</x:v>
      </x:c>
      <x:c r="N55" s="27" t="str">
        <x:v>BECA INTERNA DOCTORAL</x:v>
      </x:c>
      <x:c r="O55" s="27" t="str">
        <x:v>Grupo de Neurociencia de Sistemas</x:v>
      </x:c>
      <x:c r="P55" s="27" t="str">
        <x:v>Neurociencias</x:v>
      </x:c>
      <x:c r="Q55" s="27" t="str"/>
      <x:c r="R55" s="27" t="str"/>
      <x:c r="S55" s="27" t="str">
        <x:v>https://ifibio-uba.conicet.gov.ar/personal-del-instituto/becarios/</x:v>
      </x:c>
      <x:c r="T55" s="27" t="str">
        <x:v>2026-09-10</x:v>
      </x:c>
      <x:c r="U55" s="27" t="str"/>
    </x:row>
    <x:row r="56">
      <x:c r="A56" s="27" t="str">
        <x:v>Nora Martinez</x:v>
      </x:c>
      <x:c r="B56" s="27" t="str">
        <x:v>Actual</x:v>
      </x:c>
      <x:c r="C56" s="27" t="str">
        <x:v>Investigador/a</x:v>
      </x:c>
      <x:c r="D56" s="27" t="str">
        <x:v>Investigadora Adjunta</x:v>
      </x:c>
      <x:c r="E56" s="27" t="str">
        <x:v>Laboratorio de Biomembranas</x:v>
      </x:c>
      <x:c r="F56" s="27" t="str">
        <x:v>Patogénesis Entérica</x:v>
      </x:c>
      <x:c r="G56" s="27" t="str">
        <x:v>Claudia Capurro</x:v>
      </x:c>
      <x:c r="H56" s="27" t="str"/>
      <x:c r="I56" s="27" t="str"/>
      <x:c r="J56" s="27" t="str">
        <x:v>MARTINEZ, NORA ALICIA</x:v>
      </x:c>
      <x:c r="K56" s="27" t="str">
        <x:v>Investigadores CONICET</x:v>
      </x:c>
      <x:c r="L56" s="27" t="str">
        <x:v>Investigador</x:v>
      </x:c>
      <x:c r="M56" s="27" t="str">
        <x:v>CONICET</x:v>
      </x:c>
      <x:c r="N56" s="27" t="str">
        <x:v>INV ADJUNTO</x:v>
      </x:c>
      <x:c r="O56" s="27" t="str">
        <x:v>Laboratorio de Fisiopatogenia</x:v>
      </x:c>
      <x:c r="P56" s="27" t="str">
        <x:v>Patogénesis Entérica</x:v>
      </x:c>
      <x:c r="Q56" s="27" t="str">
        <x:v>https://www.conicet.gov.ar/new_scp/detalle.php?id=37567&amp;keywords=igaz&amp;datos_academicos=yes</x:v>
      </x:c>
      <x:c r="R56" s="27" t="str">
        <x:v>https://ifibio-uba.conicet.gov.ar/labs/damiano/</x:v>
      </x:c>
      <x:c r="S56" s="27" t="str">
        <x:v>https://ifibio-uba.conicet.gov.ar/personal-del-instituto/investigadores/</x:v>
      </x:c>
      <x:c r="T56" s="27" t="str">
        <x:v>2026-09-10</x:v>
      </x:c>
      <x:c r="U56" s="27" t="str">
        <x:v>Laboratorio/grupo actual no coincide con la planilla original; El texto de pertenencia publicado no coincide con la página de grupo enlazada; Se corrigió el error tipográfico 'Bimembranas/Biommbranas' del sitio</x:v>
      </x:c>
    </x:row>
    <x:row r="57">
      <x:c r="A57" s="27" t="str">
        <x:v>Paula Faillace</x:v>
      </x:c>
      <x:c r="B57" s="27" t="str">
        <x:v>Actual</x:v>
      </x:c>
      <x:c r="C57" s="27" t="str">
        <x:v>Investigador/a</x:v>
      </x:c>
      <x:c r="D57" s="27" t="str">
        <x:v>Investigadora Independiente</x:v>
      </x:c>
      <x:c r="E57" s="27" t="str">
        <x:v>Grupo de Pez Cebra</x:v>
      </x:c>
      <x:c r="F57" s="27" t="str">
        <x:v>Neurobiología de la Retina</x:v>
      </x:c>
      <x:c r="G57" s="27" t="str">
        <x:v>María Paula Faillace</x:v>
      </x:c>
      <x:c r="H57" s="27" t="str"/>
      <x:c r="I57" s="27" t="str"/>
      <x:c r="J57" s="27" t="str">
        <x:v>FAILLACE, MARIA PAULA</x:v>
      </x:c>
      <x:c r="K57" s="27" t="str">
        <x:v>Investigadores CONICET</x:v>
      </x:c>
      <x:c r="L57" s="27" t="str">
        <x:v>Investigador</x:v>
      </x:c>
      <x:c r="M57" s="27" t="str">
        <x:v>CONICET</x:v>
      </x:c>
      <x:c r="N57" s="27" t="str">
        <x:v>INV INDEPENDIENTE</x:v>
      </x:c>
      <x:c r="O57" s="27" t="str">
        <x:v>Grupo de Pez Cebra</x:v>
      </x:c>
      <x:c r="P57" s="27" t="str">
        <x:v>Neurobiología de la Retina</x:v>
      </x:c>
      <x:c r="Q57" s="27" t="str">
        <x:v>https://www.conicet.gov.ar/new_scp/detalle.php?id=20580&amp;keywords=jorge%2Bgoldstein&amp;datos_academicos=yes</x:v>
      </x:c>
      <x:c r="R57" s="27" t="str">
        <x:v>https://ifibio-uba.conicet.gov.ar/labs/faillace/</x:v>
      </x:c>
      <x:c r="S57" s="27" t="str">
        <x:v>https://ifibio-uba.conicet.gov.ar/personal-del-instituto/investigadores/</x:v>
      </x:c>
      <x:c r="T57" s="27" t="str">
        <x:v>2026-09-10</x:v>
      </x:c>
      <x:c r="U57" s="27" t="str"/>
    </x:row>
    <x:row r="58">
      <x:c r="A58" s="27" t="str">
        <x:v>Pilar Jove</x:v>
      </x:c>
      <x:c r="B58" s="27" t="str">
        <x:v>Actual</x:v>
      </x:c>
      <x:c r="C58" s="27" t="str">
        <x:v>Becario/a</x:v>
      </x:c>
      <x:c r="D58" s="27" t="str">
        <x:v>Becaria de Grado - UBA</x:v>
      </x:c>
      <x:c r="E58" s="27" t="str">
        <x:v>Laboratorio de Fisiología Renal</x:v>
      </x:c>
      <x:c r="F58" s="27" t="str"/>
      <x:c r="G58" s="27" t="str">
        <x:v>Claudia Silberstein</x:v>
      </x:c>
      <x:c r="H58" s="27" t="str"/>
      <x:c r="I58" s="27" t="str"/>
      <x:c r="J58" s="27" t="str"/>
      <x:c r="K58" s="27" t="str"/>
      <x:c r="L58" s="27" t="str"/>
      <x:c r="M58" s="27" t="str"/>
      <x:c r="N58" s="27" t="str"/>
      <x:c r="O58" s="27" t="str"/>
      <x:c r="P58" s="27" t="str"/>
      <x:c r="Q58" s="27" t="str"/>
      <x:c r="R58" s="27" t="str"/>
      <x:c r="S58" s="27" t="str">
        <x:v>https://ifibio-uba.conicet.gov.ar/personal-del-instituto/becarios/</x:v>
      </x:c>
      <x:c r="T58" s="27" t="str">
        <x:v>2026-09-10</x:v>
      </x:c>
      <x:c r="U58" s="27" t="str">
        <x:v>Figura en el sitio oficial actual pero no en la planilla original</x:v>
      </x:c>
    </x:row>
    <x:row r="59">
      <x:c r="A59" s="27" t="str">
        <x:v>Rafael Pagani</x:v>
      </x:c>
      <x:c r="B59" s="27" t="str">
        <x:v>Actual</x:v>
      </x:c>
      <x:c r="C59" s="27" t="str">
        <x:v>Investigador/a</x:v>
      </x:c>
      <x:c r="D59" s="27" t="str">
        <x:v>Investigador Independiente</x:v>
      </x:c>
      <x:c r="E59" s="27" t="str">
        <x:v>Grupo de Neurociencia de Sistemas</x:v>
      </x:c>
      <x:c r="F59" s="27" t="str">
        <x:v>Genética del Aprendizaje</x:v>
      </x:c>
      <x:c r="G59" s="27" t="str">
        <x:v>Rafael Pagani</x:v>
      </x:c>
      <x:c r="H59" s="27" t="str"/>
      <x:c r="I59" s="27" t="str"/>
      <x:c r="J59" s="27" t="str">
        <x:v>PAGANI, MARIO RAFAEL</x:v>
      </x:c>
      <x:c r="K59" s="27" t="str">
        <x:v>Consejo Directivo; Investigadores CONICET</x:v>
      </x:c>
      <x:c r="L59" s="27" t="str">
        <x:v>Representante Investigador; Investigador</x:v>
      </x:c>
      <x:c r="M59" s="27" t="str">
        <x:v>CONICET</x:v>
      </x:c>
      <x:c r="N59" s="27" t="str">
        <x:v>INV INDEPENDIENTE</x:v>
      </x:c>
      <x:c r="O59" s="27" t="str">
        <x:v>Grupo de Neurociencia de Sistemas</x:v>
      </x:c>
      <x:c r="P59" s="27" t="str">
        <x:v>Genética del Aprendizaje</x:v>
      </x:c>
      <x:c r="Q59" s="27" t="str">
        <x:v>https://www.conicet.gov.ar/new_scp/detalle.php?id=64912&amp;keywords=alipio%2Bpinto&amp;datos_academicos=yes</x:v>
      </x:c>
      <x:c r="R59" s="27" t="str">
        <x:v>https://ifibio-uba.conicet.gov.ar/labs/pagani/</x:v>
      </x:c>
      <x:c r="S59" s="27" t="str">
        <x:v>https://ifibio-uba.conicet.gov.ar/personal-del-instituto/investigadores/</x:v>
      </x:c>
      <x:c r="T59" s="27" t="str">
        <x:v>2026-09-10</x:v>
      </x:c>
      <x:c r="U59" s="27" t="str">
        <x:v>Duplicado en la planilla original (2 filas)</x:v>
      </x:c>
    </x:row>
    <x:row r="60">
      <x:c r="A60" s="27" t="str">
        <x:v>Ramón Bernabeu</x:v>
      </x:c>
      <x:c r="B60" s="27" t="str">
        <x:v>Actual</x:v>
      </x:c>
      <x:c r="C60" s="27" t="str">
        <x:v>Investigador/a</x:v>
      </x:c>
      <x:c r="D60" s="27" t="str">
        <x:v>Investigado Independiente - Conicet</x:v>
      </x:c>
      <x:c r="E60" s="27" t="str">
        <x:v>Grupo de Pez Cebra</x:v>
      </x:c>
      <x:c r="F60" s="27" t="str">
        <x:v>Neurobiología de las Adicciones</x:v>
      </x:c>
      <x:c r="G60" s="27" t="str">
        <x:v>Ramón Bernabeu</x:v>
      </x:c>
      <x:c r="H60" s="27" t="str"/>
      <x:c r="I60" s="27" t="str"/>
      <x:c r="J60" s="27" t="str">
        <x:v>BERNABEU, RAMON OSCAR</x:v>
      </x:c>
      <x:c r="K60" s="27" t="str">
        <x:v>Investigadores CONICET</x:v>
      </x:c>
      <x:c r="L60" s="27" t="str">
        <x:v>Investigador</x:v>
      </x:c>
      <x:c r="M60" s="27" t="str">
        <x:v>CONICET</x:v>
      </x:c>
      <x:c r="N60" s="27" t="str">
        <x:v>INV PRINCIPAL</x:v>
      </x:c>
      <x:c r="O60" s="27" t="str">
        <x:v>Grupo de Pez Cebra</x:v>
      </x:c>
      <x:c r="P60" s="27" t="str">
        <x:v>Neurobiología de las Adicciones</x:v>
      </x:c>
      <x:c r="Q60" s="27" t="str">
        <x:v>https://www.conicet.gov.ar/new_scp/detalle.php?id=32737&amp;keywords=mariano%2Bblake&amp;datos_academicos=yes</x:v>
      </x:c>
      <x:c r="R60" s="27" t="str">
        <x:v>https://ifibio-uba.conicet.gov.ar/labs/bernabeu/</x:v>
      </x:c>
      <x:c r="S60" s="27" t="str">
        <x:v>https://ifibio-uba.conicet.gov.ar/personal-del-instituto/investigadores/</x:v>
      </x:c>
      <x:c r="T60" s="27" t="str">
        <x:v>2026-09-10</x:v>
      </x:c>
      <x:c r="U60" s="27" t="str">
        <x:v>Categoría posiblemente actualizada: planilla=PRINCIPAL; web=INDEPENDIENTE</x:v>
      </x:c>
    </x:row>
    <x:row r="61">
      <x:c r="A61" s="27" t="str">
        <x:v>Roxana Toriano</x:v>
      </x:c>
      <x:c r="B61" s="27" t="str">
        <x:v>Actual</x:v>
      </x:c>
      <x:c r="C61" s="27" t="str">
        <x:v>Investigador/a</x:v>
      </x:c>
      <x:c r="D61" s="27" t="str">
        <x:v>Investigadora Adjunta</x:v>
      </x:c>
      <x:c r="E61" s="27" t="str">
        <x:v>Laboratorio de Biomembranas</x:v>
      </x:c>
      <x:c r="F61" s="27" t="str">
        <x:v>Modelado Molecular y Diseño de Drogas</x:v>
      </x:c>
      <x:c r="G61" s="27" t="str">
        <x:v>Roxana Toriano</x:v>
      </x:c>
      <x:c r="H61" s="27" t="str"/>
      <x:c r="I61" s="27" t="str"/>
      <x:c r="J61" s="27" t="str">
        <x:v>TORIANO, ROXANA MABEL</x:v>
      </x:c>
      <x:c r="K61" s="27" t="str">
        <x:v>Investigadores CONICET</x:v>
      </x:c>
      <x:c r="L61" s="27" t="str">
        <x:v>Investigador</x:v>
      </x:c>
      <x:c r="M61" s="27" t="str">
        <x:v>CONICET</x:v>
      </x:c>
      <x:c r="N61" s="27" t="str">
        <x:v>INV ADJUNTO</x:v>
      </x:c>
      <x:c r="O61" s="27" t="str">
        <x:v>Laboratorio de Biomembranas</x:v>
      </x:c>
      <x:c r="P61" s="27" t="str">
        <x:v>Modelado Molecular y Diseño de Drogas</x:v>
      </x:c>
      <x:c r="Q61" s="27" t="str">
        <x:v>https://www.conicet.gov.ar/new_scp/detalle.php?id=43530&amp;keywords=tubert&amp;datos_academicos=yes</x:v>
      </x:c>
      <x:c r="R61" s="27" t="str">
        <x:v>https://ifibio-uba.conicet.gov.ar/labs/biomembranas/</x:v>
      </x:c>
      <x:c r="S61" s="27" t="str">
        <x:v>https://ifibio-uba.conicet.gov.ar/personal-del-instituto/investigadores/</x:v>
      </x:c>
      <x:c r="T61" s="27" t="str">
        <x:v>2026-09-10</x:v>
      </x:c>
      <x:c r="U61" s="27" t="str">
        <x:v>Se corrigió el error tipográfico 'Bimembranas/Biommbranas' del sitio</x:v>
      </x:c>
    </x:row>
    <x:row r="62">
      <x:c r="A62" s="27" t="str">
        <x:v>Tomás Molina Ponce</x:v>
      </x:c>
      <x:c r="B62" s="27" t="str">
        <x:v>Actual</x:v>
      </x:c>
      <x:c r="C62" s="27" t="str">
        <x:v>Becario/a</x:v>
      </x:c>
      <x:c r="D62" s="27" t="str">
        <x:v>Becario de Grado - UBA</x:v>
      </x:c>
      <x:c r="E62" s="27" t="str">
        <x:v>Laboratorio de Biomembranas</x:v>
      </x:c>
      <x:c r="F62" s="27" t="str">
        <x:v>Biofísica de Aquaporinas</x:v>
      </x:c>
      <x:c r="G62" s="27" t="str">
        <x:v>Claudia Capurro</x:v>
      </x:c>
      <x:c r="H62" s="27" t="str"/>
      <x:c r="I62" s="27" t="str"/>
      <x:c r="J62" s="27" t="str">
        <x:v>MOLINA PONCE, TOMÁS IGNACIO</x:v>
      </x:c>
      <x:c r="K62" s="27" t="str">
        <x:v>Becarios CONICET</x:v>
      </x:c>
      <x:c r="L62" s="27" t="str">
        <x:v>Becario</x:v>
      </x:c>
      <x:c r="M62" s="27" t="str">
        <x:v>CONICET</x:v>
      </x:c>
      <x:c r="N62" s="27" t="str">
        <x:v>BECA INTERNA DOCTORAL</x:v>
      </x:c>
      <x:c r="O62" s="27" t="str">
        <x:v>Laboratorio de Biomembranas</x:v>
      </x:c>
      <x:c r="P62" s="27" t="str">
        <x:v>Biofísica de Aquaporinas</x:v>
      </x:c>
      <x:c r="Q62" s="27" t="str"/>
      <x:c r="R62" s="27" t="str"/>
      <x:c r="S62" s="27" t="str">
        <x:v>https://ifibio-uba.conicet.gov.ar/personal-del-instituto/becarios/</x:v>
      </x:c>
      <x:c r="T62" s="27" t="str">
        <x:v>2026-09-10</x:v>
      </x:c>
      <x:c r="U62" s="27" t="str"/>
    </x:row>
    <x:row r="63">
      <x:c r="A63" s="27" t="str">
        <x:v>Valeria Casazza</x:v>
      </x:c>
      <x:c r="B63" s="27" t="str">
        <x:v>Actual</x:v>
      </x:c>
      <x:c r="C63" s="27" t="str">
        <x:v>Gestión/administración</x:v>
      </x:c>
      <x:c r="D63" s="27" t="str">
        <x:v>Secretaría IFIBIO Houssay</x:v>
      </x:c>
      <x:c r="E63" s="27" t="str">
        <x:v>Gestión y Administración</x:v>
      </x:c>
      <x:c r="F63" s="27" t="str"/>
      <x:c r="G63" s="27" t="str"/>
      <x:c r="H63" s="27" t="str"/>
      <x:c r="I63" s="27" t="str"/>
      <x:c r="J63" s="27" t="str"/>
      <x:c r="K63" s="27" t="str"/>
      <x:c r="L63" s="27" t="str"/>
      <x:c r="M63" s="27" t="str"/>
      <x:c r="N63" s="27" t="str"/>
      <x:c r="O63" s="27" t="str"/>
      <x:c r="P63" s="27" t="str"/>
      <x:c r="Q63" s="27" t="str"/>
      <x:c r="R63" s="27" t="str"/>
      <x:c r="S63" s="27" t="str">
        <x:v>https://ifibio-uba.conicet.gov.ar/personal-del-instituto/cpa/</x:v>
      </x:c>
      <x:c r="T63" s="27" t="str">
        <x:v>2026-09-10</x:v>
      </x:c>
      <x:c r="U63" s="27" t="str">
        <x:v>Figura en el sitio oficial actual pero no en la planilla original</x:v>
      </x:c>
    </x:row>
    <x:row r="64">
      <x:c r="A64" s="27" t="str">
        <x:v>Valeria Rivarola</x:v>
      </x:c>
      <x:c r="B64" s="27" t="str">
        <x:v>Actual</x:v>
      </x:c>
      <x:c r="C64" s="27" t="str">
        <x:v>Investigador/a</x:v>
      </x:c>
      <x:c r="D64" s="27" t="str">
        <x:v>Investigadora Adjunta</x:v>
      </x:c>
      <x:c r="E64" s="27" t="str">
        <x:v>Laboratorio de Biomembranas</x:v>
      </x:c>
      <x:c r="F64" s="27" t="str">
        <x:v>Trastornos del Equilibrio Ácido Base</x:v>
      </x:c>
      <x:c r="G64" s="27" t="str">
        <x:v>Valeria Rivarola</x:v>
      </x:c>
      <x:c r="H64" s="27" t="str"/>
      <x:c r="I64" s="27" t="str"/>
      <x:c r="J64" s="27" t="str">
        <x:v>RIVAROLA, VALERIA</x:v>
      </x:c>
      <x:c r="K64" s="27" t="str">
        <x:v>Consejo Directivo; Investigadores CONICET</x:v>
      </x:c>
      <x:c r="L64" s="27" t="str">
        <x:v>Representante Investigador; Investigador</x:v>
      </x:c>
      <x:c r="M64" s="27" t="str">
        <x:v>CONICET</x:v>
      </x:c>
      <x:c r="N64" s="27" t="str">
        <x:v>INV ADJUNTO</x:v>
      </x:c>
      <x:c r="O64" s="27" t="str">
        <x:v>Laboratorio de Biomembranas</x:v>
      </x:c>
      <x:c r="P64" s="27" t="str">
        <x:v>Trastornos del Equilibrio Ácido Base</x:v>
      </x:c>
      <x:c r="Q64" s="27" t="str">
        <x:v>https://www.conicet.gov.ar/new_scp/detalle.php?id=43459&amp;keywords=flavia%2Bsacerdoti&amp;datos_academicos=yes</x:v>
      </x:c>
      <x:c r="R64" s="27" t="str">
        <x:v>https://ifibio-uba.conicet.gov.ar/labs/biomembranas/</x:v>
      </x:c>
      <x:c r="S64" s="27" t="str">
        <x:v>https://ifibio-uba.conicet.gov.ar/personal-del-instituto/investigadores/</x:v>
      </x:c>
      <x:c r="T64" s="27" t="str">
        <x:v>2026-09-10</x:v>
      </x:c>
      <x:c r="U64" s="27" t="str">
        <x:v>Duplicado en la planilla original (2 filas)</x:v>
      </x:c>
    </x:row>
    <x:row r="65">
      <x:c r="A65" s="27" t="str">
        <x:v>Vanina Netti</x:v>
      </x:c>
      <x:c r="B65" s="27" t="str">
        <x:v>Actual</x:v>
      </x:c>
      <x:c r="C65" s="27" t="str">
        <x:v>Investigador/a</x:v>
      </x:c>
      <x:c r="D65" s="27" t="str">
        <x:v>Investigadora Asistente</x:v>
      </x:c>
      <x:c r="E65" s="27" t="str">
        <x:v>Laboratorio de Biomembranas</x:v>
      </x:c>
      <x:c r="F65" s="27" t="str">
        <x:v>Biofísica Epitelial y Placentaria</x:v>
      </x:c>
      <x:c r="G65" s="27" t="str">
        <x:v>Claudia Capurro</x:v>
      </x:c>
      <x:c r="H65" s="27" t="str"/>
      <x:c r="I65" s="27" t="str"/>
      <x:c r="J65" s="27" t="str">
        <x:v>NETTI, VANINA ALEJANDRA</x:v>
      </x:c>
      <x:c r="K65" s="27" t="str">
        <x:v>Investigadores CONICET</x:v>
      </x:c>
      <x:c r="L65" s="27" t="str">
        <x:v>Investigador</x:v>
      </x:c>
      <x:c r="M65" s="27" t="str">
        <x:v>CONICET</x:v>
      </x:c>
      <x:c r="N65" s="27" t="str">
        <x:v>INV ADJUNTO</x:v>
      </x:c>
      <x:c r="O65" s="27" t="str">
        <x:v>Laboratorio de Biomembranas</x:v>
      </x:c>
      <x:c r="P65" s="27" t="str">
        <x:v>Biofísica Epitelial y Placentaria</x:v>
      </x:c>
      <x:c r="Q65" s="27" t="str"/>
      <x:c r="R65" s="27" t="str">
        <x:v>https://ifibio-uba.conicet.gov.ar/labs/biomembranas/</x:v>
      </x:c>
      <x:c r="S65" s="27" t="str">
        <x:v>https://ifibio-uba.conicet.gov.ar/personal-del-instituto/investigadores/</x:v>
      </x:c>
      <x:c r="T65" s="27" t="str">
        <x:v>2026-09-10</x:v>
      </x:c>
      <x:c r="U65" s="27" t="str">
        <x:v>Categoría posiblemente actualizada: planilla=ADJUNTO; web=ASISTENTE</x:v>
      </x:c>
    </x:row>
    <x:row r="66">
      <x:c r="A66" s="27" t="str">
        <x:v>Verónica Risso</x:v>
      </x:c>
      <x:c r="B66" s="27" t="str">
        <x:v>Actual</x:v>
      </x:c>
      <x:c r="C66" s="27" t="str">
        <x:v>CPA</x:v>
      </x:c>
      <x:c r="D66" s="27" t="str">
        <x:v>Técnica Principal - Conicet</x:v>
      </x:c>
      <x:c r="E66" s="27" t="str">
        <x:v>Servicios / Apoyo Técnico</x:v>
      </x:c>
      <x:c r="F66" s="27" t="str"/>
      <x:c r="G66" s="27" t="str"/>
      <x:c r="H66" s="27" t="str">
        <x:v>Bioterista</x:v>
      </x:c>
      <x:c r="I66" s="27" t="str"/>
      <x:c r="J66" s="27" t="str">
        <x:v>RISSO, VERÓNICA BELEN</x:v>
      </x:c>
      <x:c r="K66" s="27" t="str">
        <x:v>Personal de Apoyo CONICET</x:v>
      </x:c>
      <x:c r="L66" s="27" t="str">
        <x:v>Personal de Apoyo</x:v>
      </x:c>
      <x:c r="M66" s="27" t="str">
        <x:v>CONICET</x:v>
      </x:c>
      <x:c r="N66" s="27" t="str">
        <x:v>TECNICO PRINCIPAL</x:v>
      </x:c>
      <x:c r="O66" s="27" t="str">
        <x:v>Servicios / Apoyo Técnico</x:v>
      </x:c>
      <x:c r="P66" s="27" t="str">
        <x:v>Técnico Principal</x:v>
      </x:c>
      <x:c r="Q66" s="27" t="str">
        <x:v>https://www.conicet.gov.ar/new_scp/detalle.php?id=56984&amp;keywords=valverde%2Besteban&amp;datos_academicos=yes</x:v>
      </x:c>
      <x:c r="R66" s="27" t="str"/>
      <x:c r="S66" s="27" t="str">
        <x:v>https://ifibio-uba.conicet.gov.ar/personal-del-instituto/cpa/</x:v>
      </x:c>
      <x:c r="T66" s="27" t="str">
        <x:v>2026-09-10</x:v>
      </x:c>
      <x:c r="U66" s="27" t="str"/>
    </x:row>
    <x:row r="67">
      <x:c r="A67" s="27" t="str">
        <x:v>Lisandro Díaz Devicenzi</x:v>
      </x:c>
      <x:c r="B67" s="27" t="str">
        <x:v>Conflicto: actual y exintegrante</x:v>
      </x:c>
      <x:c r="C67" s="27" t="str">
        <x:v>Becario/a</x:v>
      </x:c>
      <x:c r="D67" s="27" t="str">
        <x:v>Becario Doctoral - Foncyt</x:v>
      </x:c>
      <x:c r="E67" s="27" t="str">
        <x:v>Grupo de Neurociencia de Sistemas</x:v>
      </x:c>
      <x:c r="F67" s="27" t="str">
        <x:v>Fisiología de Circuitos Neuronales</x:v>
      </x:c>
      <x:c r="G67" s="27" t="str">
        <x:v>Gustavo Murer</x:v>
      </x:c>
      <x:c r="H67" s="27" t="str"/>
      <x:c r="I67" s="27" t="str"/>
      <x:c r="J67" s="27" t="str"/>
      <x:c r="K67" s="27" t="str"/>
      <x:c r="L67" s="27" t="str"/>
      <x:c r="M67" s="27" t="str"/>
      <x:c r="N67" s="27" t="str"/>
      <x:c r="O67" s="27" t="str"/>
      <x:c r="P67" s="27" t="str"/>
      <x:c r="Q67" s="27" t="str"/>
      <x:c r="R67" s="27" t="str"/>
      <x:c r="S67" s="27" t="str">
        <x:v>https://ifibio-uba.conicet.gov.ar/personal-del-instituto/becarios/; https://ifibio-uba.conicet.gov.ar/personal-del-instituto/ex-integrantes/</x:v>
      </x:c>
      <x:c r="T67" s="27" t="str">
        <x:v>2026-09-10</x:v>
      </x:c>
      <x:c r="U67" s="27" t="str">
        <x:v>La misma persona figura en una página actual y en Exintegrantes; Figura en el sitio oficial actual pero no en la planilla original</x:v>
      </x:c>
    </x:row>
    <x:row r="68">
      <x:c r="A68" s="27" t="str">
        <x:v>Nicolás Cristi</x:v>
      </x:c>
      <x:c r="B68" s="27" t="str">
        <x:v>Conflicto: actual y exintegrante</x:v>
      </x:c>
      <x:c r="C68" s="27" t="str">
        <x:v>Becario/a</x:v>
      </x:c>
      <x:c r="D68" s="27" t="str">
        <x:v>Becario de Grado - UBA</x:v>
      </x:c>
      <x:c r="E68" s="27" t="str">
        <x:v>Laboratorio de Neuropsicología de la Performance</x:v>
      </x:c>
      <x:c r="F68" s="27" t="str"/>
      <x:c r="G68" s="27" t="str">
        <x:v>Mariano Blake</x:v>
      </x:c>
      <x:c r="H68" s="27" t="str"/>
      <x:c r="I68" s="27" t="str"/>
      <x:c r="J68" s="27" t="str"/>
      <x:c r="K68" s="27" t="str"/>
      <x:c r="L68" s="27" t="str"/>
      <x:c r="M68" s="27" t="str"/>
      <x:c r="N68" s="27" t="str"/>
      <x:c r="O68" s="27" t="str"/>
      <x:c r="P68" s="27" t="str"/>
      <x:c r="Q68" s="27" t="str"/>
      <x:c r="R68" s="27" t="str"/>
      <x:c r="S68" s="27" t="str">
        <x:v>https://ifibio-uba.conicet.gov.ar/personal-del-instituto/becarios/; https://ifibio-uba.conicet.gov.ar/personal-del-instituto/ex-integrantes/</x:v>
      </x:c>
      <x:c r="T68" s="27" t="str">
        <x:v>2026-09-10</x:v>
      </x:c>
      <x:c r="U68" s="27" t="str">
        <x:v>La misma persona figura en una página actual y en Exintegrantes; Figura en el sitio oficial actual pero no en la planilla original</x:v>
      </x:c>
    </x:row>
    <x:row r="69">
      <x:c r="A69" s="27" t="str">
        <x:v>Agostina Stahl</x:v>
      </x:c>
      <x:c r="B69" s="27" t="str">
        <x:v>Exintegrante</x:v>
      </x:c>
      <x:c r="C69" s="27" t="str">
        <x:v>Exintegrante</x:v>
      </x:c>
      <x:c r="D69" s="27" t="str">
        <x:v>Becaria Doctoral</x:v>
      </x:c>
      <x:c r="E69" s="27" t="str">
        <x:v>Grupo de Neurociencia de Sistemas</x:v>
      </x:c>
      <x:c r="F69" s="27" t="str">
        <x:v>Fisiología de Circuitos Neuronales</x:v>
      </x:c>
      <x:c r="G69" s="27" t="str">
        <x:v>Gustavo Murer</x:v>
      </x:c>
      <x:c r="H69" s="27" t="str"/>
      <x:c r="I69" s="27" t="str"/>
      <x:c r="J69" s="27" t="str">
        <x:v>STAHL, AGOSTINA MÓNICA</x:v>
      </x:c>
      <x:c r="K69" s="27" t="str">
        <x:v>Becarios CONICET</x:v>
      </x:c>
      <x:c r="L69" s="27" t="str">
        <x:v>Becario</x:v>
      </x:c>
      <x:c r="M69" s="27" t="str">
        <x:v>CONICET</x:v>
      </x:c>
      <x:c r="N69" s="27" t="str">
        <x:v>BECA INTERNA DOCTORAL</x:v>
      </x:c>
      <x:c r="O69" s="27" t="str">
        <x:v>Grupo de Neurociencia de Sistemas</x:v>
      </x:c>
      <x:c r="P69" s="27" t="str">
        <x:v>Neurociencias</x:v>
      </x:c>
      <x:c r="Q69" s="27" t="str"/>
      <x:c r="R69" s="27" t="str"/>
      <x:c r="S69" s="27" t="str">
        <x:v>https://ifibio-uba.conicet.gov.ar/personal-del-instituto/ex-integrantes/</x:v>
      </x:c>
      <x:c r="T69" s="27" t="str">
        <x:v>2026-09-10</x:v>
      </x:c>
      <x:c r="U69" s="27" t="str"/>
    </x:row>
    <x:row r="70">
      <x:c r="A70" s="27" t="str">
        <x:v>Agustín Solano</x:v>
      </x:c>
      <x:c r="B70" s="27" t="str">
        <x:v>Exintegrante</x:v>
      </x:c>
      <x:c r="C70" s="27" t="str">
        <x:v>Exintegrante</x:v>
      </x:c>
      <x:c r="D70" s="27" t="str">
        <x:v>Becario Post-doctoral</x:v>
      </x:c>
      <x:c r="E70" s="27" t="str">
        <x:v>Grupo de Neurociencia de Sistemas</x:v>
      </x:c>
      <x:c r="F70" s="27" t="str">
        <x:v>Fisiología de la Acción</x:v>
      </x:c>
      <x:c r="G70" s="27" t="str"/>
      <x:c r="H70" s="27" t="str"/>
      <x:c r="I70" s="27" t="str"/>
      <x:c r="J70" s="27" t="str"/>
      <x:c r="K70" s="27" t="str"/>
      <x:c r="L70" s="27" t="str"/>
      <x:c r="M70" s="27" t="str"/>
      <x:c r="N70" s="27" t="str"/>
      <x:c r="O70" s="27" t="str"/>
      <x:c r="P70" s="27" t="str"/>
      <x:c r="Q70" s="27" t="str"/>
      <x:c r="R70" s="27" t="str"/>
      <x:c r="S70" s="27" t="str">
        <x:v>https://ifibio-uba.conicet.gov.ar/personal-del-instituto/ex-integrantes/</x:v>
      </x:c>
      <x:c r="T70" s="27" t="str">
        <x:v>2026-09-10</x:v>
      </x:c>
      <x:c r="U70" s="27" t="str">
        <x:v>Figura en el sitio oficial actual pero no en la planilla original</x:v>
      </x:c>
    </x:row>
    <x:row r="71">
      <x:c r="A71" s="27" t="str">
        <x:v>Álvaro Deleglise</x:v>
      </x:c>
      <x:c r="B71" s="27" t="str">
        <x:v>Exintegrante</x:v>
      </x:c>
      <x:c r="C71" s="27" t="str">
        <x:v>Exintegrante</x:v>
      </x:c>
      <x:c r="D71" s="27" t="str">
        <x:v>Becario Doctoral</x:v>
      </x:c>
      <x:c r="E71" s="27" t="str">
        <x:v>Grupo de Neurociencia de Sistemas</x:v>
      </x:c>
      <x:c r="F71" s="27" t="str">
        <x:v>Fisiología de la Acción</x:v>
      </x:c>
      <x:c r="G71" s="27" t="str"/>
      <x:c r="H71" s="27" t="str"/>
      <x:c r="I71" s="27" t="str"/>
      <x:c r="J71" s="27" t="str"/>
      <x:c r="K71" s="27" t="str"/>
      <x:c r="L71" s="27" t="str"/>
      <x:c r="M71" s="27" t="str"/>
      <x:c r="N71" s="27" t="str"/>
      <x:c r="O71" s="27" t="str"/>
      <x:c r="P71" s="27" t="str"/>
      <x:c r="Q71" s="27" t="str"/>
      <x:c r="R71" s="27" t="str"/>
      <x:c r="S71" s="27" t="str">
        <x:v>https://ifibio-uba.conicet.gov.ar/personal-del-instituto/ex-integrantes/</x:v>
      </x:c>
      <x:c r="T71" s="27" t="str">
        <x:v>2026-09-10</x:v>
      </x:c>
      <x:c r="U71" s="27" t="str">
        <x:v>Figura en el sitio oficial actual pero no en la planilla original</x:v>
      </x:c>
    </x:row>
    <x:row r="72">
      <x:c r="A72" s="27" t="str">
        <x:v>Camila Coll</x:v>
      </x:c>
      <x:c r="B72" s="27" t="str">
        <x:v>Exintegrante</x:v>
      </x:c>
      <x:c r="C72" s="27" t="str">
        <x:v>Exintegrante</x:v>
      </x:c>
      <x:c r="D72" s="27" t="str">
        <x:v>Becaria Doctoral</x:v>
      </x:c>
      <x:c r="E72" s="27" t="str">
        <x:v>Grupo de Neurociencia de Sistemas</x:v>
      </x:c>
      <x:c r="F72" s="27" t="str">
        <x:v>Fisiología de Circuitos Neuronales</x:v>
      </x:c>
      <x:c r="G72" s="27" t="str">
        <x:v>Gustavo Murer</x:v>
      </x:c>
      <x:c r="H72" s="27" t="str"/>
      <x:c r="I72" s="27" t="str"/>
      <x:c r="J72" s="27" t="str">
        <x:v>COLL, CAMILA</x:v>
      </x:c>
      <x:c r="K72" s="27" t="str">
        <x:v>Becarios CONICET</x:v>
      </x:c>
      <x:c r="L72" s="27" t="str">
        <x:v>Becario</x:v>
      </x:c>
      <x:c r="M72" s="27" t="str">
        <x:v>CONICET</x:v>
      </x:c>
      <x:c r="N72" s="27" t="str">
        <x:v>BECA INTERNA DOCTORAL</x:v>
      </x:c>
      <x:c r="O72" s="27" t="str">
        <x:v>Grupo de Neurociencia de Sistemas</x:v>
      </x:c>
      <x:c r="P72" s="27" t="str">
        <x:v>Neurociencias</x:v>
      </x:c>
      <x:c r="Q72" s="27" t="str"/>
      <x:c r="R72" s="27" t="str"/>
      <x:c r="S72" s="27" t="str">
        <x:v>https://ifibio-uba.conicet.gov.ar/personal-del-instituto/ex-integrantes/</x:v>
      </x:c>
      <x:c r="T72" s="27" t="str">
        <x:v>2026-09-10</x:v>
      </x:c>
      <x:c r="U72" s="27" t="str"/>
    </x:row>
    <x:row r="73">
      <x:c r="A73" s="27" t="str">
        <x:v>Cecilia Martinez</x:v>
      </x:c>
      <x:c r="B73" s="27" t="str">
        <x:v>Exintegrante</x:v>
      </x:c>
      <x:c r="C73" s="27" t="str">
        <x:v>Exintegrante</x:v>
      </x:c>
      <x:c r="D73" s="27" t="str">
        <x:v>Investigadora Adjunta</x:v>
      </x:c>
      <x:c r="E73" s="27" t="str">
        <x:v>Grupo de Neurociencia de Sistemas</x:v>
      </x:c>
      <x:c r="F73" s="27" t="str"/>
      <x:c r="G73" s="27" t="str"/>
      <x:c r="H73" s="27" t="str"/>
      <x:c r="I73" s="27" t="str"/>
      <x:c r="J73" s="27" t="str"/>
      <x:c r="K73" s="27" t="str"/>
      <x:c r="L73" s="27" t="str"/>
      <x:c r="M73" s="27" t="str"/>
      <x:c r="N73" s="27" t="str"/>
      <x:c r="O73" s="27" t="str"/>
      <x:c r="P73" s="27" t="str"/>
      <x:c r="Q73" s="27" t="str"/>
      <x:c r="R73" s="27" t="str"/>
      <x:c r="S73" s="27" t="str">
        <x:v>https://ifibio-uba.conicet.gov.ar/personal-del-instituto/ex-integrantes/</x:v>
      </x:c>
      <x:c r="T73" s="27" t="str">
        <x:v>2026-09-10</x:v>
      </x:c>
      <x:c r="U73" s="27" t="str">
        <x:v>Figura en el sitio oficial actual pero no en la planilla original</x:v>
      </x:c>
    </x:row>
    <x:row r="74">
      <x:c r="A74" s="27" t="str">
        <x:v>Constanza Ilarraz</x:v>
      </x:c>
      <x:c r="B74" s="27" t="str">
        <x:v>Exintegrante</x:v>
      </x:c>
      <x:c r="C74" s="27" t="str">
        <x:v>Exintegrante</x:v>
      </x:c>
      <x:c r="D74" s="27" t="str">
        <x:v>Becaria Doctoral</x:v>
      </x:c>
      <x:c r="E74" s="27" t="str">
        <x:v>Grupo de Neurociencia de Sistemas</x:v>
      </x:c>
      <x:c r="F74" s="27" t="str">
        <x:v>Fisiología del Dolor</x:v>
      </x:c>
      <x:c r="G74" s="27" t="str">
        <x:v>Fernando Kasanetz</x:v>
      </x:c>
      <x:c r="H74" s="27" t="str"/>
      <x:c r="I74" s="27" t="str"/>
      <x:c r="J74" s="27" t="str">
        <x:v>ILARRAZ, CONSTANZA</x:v>
      </x:c>
      <x:c r="K74" s="27" t="str">
        <x:v>Integrantes Sitio Web</x:v>
      </x:c>
      <x:c r="L74" s="27" t="str">
        <x:v>Integrante / Colaborador</x:v>
      </x:c>
      <x:c r="M74" s="27" t="str">
        <x:v>IFIBIO</x:v>
      </x:c>
      <x:c r="N74" s="27" t="str">
        <x:v>Colaboradora</x:v>
      </x:c>
      <x:c r="O74" s="27" t="str">
        <x:v>Grupo de Neurociencia de Sistemas</x:v>
      </x:c>
      <x:c r="P74" s="27" t="str">
        <x:v>Neurociencias</x:v>
      </x:c>
      <x:c r="Q74" s="27" t="str"/>
      <x:c r="R74" s="27" t="str"/>
      <x:c r="S74" s="27" t="str">
        <x:v>https://ifibio-uba.conicet.gov.ar/personal-del-instituto/ex-integrantes/</x:v>
      </x:c>
      <x:c r="T74" s="27" t="str">
        <x:v>2026-09-10</x:v>
      </x:c>
      <x:c r="U74" s="27" t="str"/>
    </x:row>
    <x:row r="75">
      <x:c r="A75" s="27" t="str">
        <x:v>Daiana Sanchez</x:v>
      </x:c>
      <x:c r="B75" s="27" t="str">
        <x:v>Exintegrante</x:v>
      </x:c>
      <x:c r="C75" s="27" t="str">
        <x:v>Exintegrante</x:v>
      </x:c>
      <x:c r="D75" s="27" t="str">
        <x:v>Becaria Doctoral</x:v>
      </x:c>
      <x:c r="E75" s="27" t="str">
        <x:v>Laboratorio de Fisiología Renal</x:v>
      </x:c>
      <x:c r="F75" s="27" t="str"/>
      <x:c r="G75" s="27" t="str">
        <x:v>Claudia Silberstein</x:v>
      </x:c>
      <x:c r="H75" s="27" t="str"/>
      <x:c r="I75" s="27" t="str"/>
      <x:c r="J75" s="27" t="str"/>
      <x:c r="K75" s="27" t="str"/>
      <x:c r="L75" s="27" t="str"/>
      <x:c r="M75" s="27" t="str"/>
      <x:c r="N75" s="27" t="str"/>
      <x:c r="O75" s="27" t="str"/>
      <x:c r="P75" s="27" t="str"/>
      <x:c r="Q75" s="27" t="str"/>
      <x:c r="R75" s="27" t="str"/>
      <x:c r="S75" s="27" t="str">
        <x:v>https://ifibio-uba.conicet.gov.ar/personal-del-instituto/ex-integrantes/</x:v>
      </x:c>
      <x:c r="T75" s="27" t="str">
        <x:v>2026-09-10</x:v>
      </x:c>
      <x:c r="U75" s="27" t="str">
        <x:v>Figura en el sitio oficial actual pero no en la planilla original</x:v>
      </x:c>
    </x:row>
    <x:row r="76">
      <x:c r="A76" s="27" t="str">
        <x:v>Félix Fares Taie</x:v>
      </x:c>
      <x:c r="B76" s="27" t="str">
        <x:v>Exintegrante</x:v>
      </x:c>
      <x:c r="C76" s="27" t="str">
        <x:v>Exintegrante</x:v>
      </x:c>
      <x:c r="D76" s="27" t="str">
        <x:v>Becario Doctoral</x:v>
      </x:c>
      <x:c r="E76" s="27" t="str">
        <x:v>Grupo de Neurociencia de Sistemas</x:v>
      </x:c>
      <x:c r="F76" s="27" t="str">
        <x:v>Formación de Redes Neurales</x:v>
      </x:c>
      <x:c r="G76" s="27" t="str">
        <x:v>Lorena Rela</x:v>
      </x:c>
      <x:c r="H76" s="27" t="str"/>
      <x:c r="I76" s="27" t="str"/>
      <x:c r="J76" s="27" t="str">
        <x:v>FARES TAIE, FELIX</x:v>
      </x:c>
      <x:c r="K76" s="27" t="str">
        <x:v>Personal No CONICET</x:v>
      </x:c>
      <x:c r="L76" s="27" t="str">
        <x:v>Becario</x:v>
      </x:c>
      <x:c r="M76" s="27" t="str">
        <x:v>NO CONICET</x:v>
      </x:c>
      <x:c r="N76" s="27" t="str">
        <x:v>Becario</x:v>
      </x:c>
      <x:c r="O76" s="27" t="str">
        <x:v>Grupo de Neurociencia de Sistemas</x:v>
      </x:c>
      <x:c r="P76" s="27" t="str">
        <x:v>Neurociencias</x:v>
      </x:c>
      <x:c r="Q76" s="27" t="str"/>
      <x:c r="R76" s="27" t="str"/>
      <x:c r="S76" s="27" t="str">
        <x:v>https://ifibio-uba.conicet.gov.ar/personal-del-instituto/ex-integrantes/</x:v>
      </x:c>
      <x:c r="T76" s="27" t="str">
        <x:v>2026-09-10</x:v>
      </x:c>
      <x:c r="U76" s="27" t="str"/>
    </x:row>
    <x:row r="77">
      <x:c r="A77" s="27" t="str">
        <x:v>Gabriela Nieva</x:v>
      </x:c>
      <x:c r="B77" s="27" t="str">
        <x:v>Exintegrante</x:v>
      </x:c>
      <x:c r="C77" s="27" t="str">
        <x:v>Exintegrante</x:v>
      </x:c>
      <x:c r="D77" s="27" t="str">
        <x:v>Becaria Doctoral</x:v>
      </x:c>
      <x:c r="E77" s="27" t="str">
        <x:v>Grupo de Neurociencia de Sistemas</x:v>
      </x:c>
      <x:c r="F77" s="27" t="str">
        <x:v>Fisiopatología Neuronal</x:v>
      </x:c>
      <x:c r="G77" s="27" t="str">
        <x:v>Lionel Muller Igaz</x:v>
      </x:c>
      <x:c r="H77" s="27" t="str"/>
      <x:c r="I77" s="27" t="str"/>
      <x:c r="J77" s="27" t="str"/>
      <x:c r="K77" s="27" t="str"/>
      <x:c r="L77" s="27" t="str"/>
      <x:c r="M77" s="27" t="str"/>
      <x:c r="N77" s="27" t="str"/>
      <x:c r="O77" s="27" t="str"/>
      <x:c r="P77" s="27" t="str"/>
      <x:c r="Q77" s="27" t="str"/>
      <x:c r="R77" s="27" t="str"/>
      <x:c r="S77" s="27" t="str">
        <x:v>https://ifibio-uba.conicet.gov.ar/personal-del-instituto/ex-integrantes/</x:v>
      </x:c>
      <x:c r="T77" s="27" t="str">
        <x:v>2026-09-10</x:v>
      </x:c>
      <x:c r="U77" s="27" t="str">
        <x:v>Figura en el sitio oficial actual pero no en la planilla original</x:v>
      </x:c>
    </x:row>
    <x:row r="78">
      <x:c r="A78" s="27" t="str">
        <x:v>Guillermina Griffa</x:v>
      </x:c>
      <x:c r="B78" s="27" t="str">
        <x:v>Exintegrante</x:v>
      </x:c>
      <x:c r="C78" s="27" t="str">
        <x:v>Exintegrante</x:v>
      </x:c>
      <x:c r="D78" s="27" t="str">
        <x:v>Becaria Doctoral</x:v>
      </x:c>
      <x:c r="E78" s="27" t="str">
        <x:v>Grupo de Neurociencia de Sistemas</x:v>
      </x:c>
      <x:c r="F78" s="27" t="str">
        <x:v>Fisiología de la Acción</x:v>
      </x:c>
      <x:c r="G78" s="27" t="str"/>
      <x:c r="H78" s="27" t="str"/>
      <x:c r="I78" s="27" t="str"/>
      <x:c r="J78" s="27" t="str"/>
      <x:c r="K78" s="27" t="str"/>
      <x:c r="L78" s="27" t="str"/>
      <x:c r="M78" s="27" t="str"/>
      <x:c r="N78" s="27" t="str"/>
      <x:c r="O78" s="27" t="str"/>
      <x:c r="P78" s="27" t="str"/>
      <x:c r="Q78" s="27" t="str"/>
      <x:c r="R78" s="27" t="str"/>
      <x:c r="S78" s="27" t="str">
        <x:v>https://ifibio-uba.conicet.gov.ar/personal-del-instituto/ex-integrantes/</x:v>
      </x:c>
      <x:c r="T78" s="27" t="str">
        <x:v>2026-09-10</x:v>
      </x:c>
      <x:c r="U78" s="27" t="str">
        <x:v>Figura en el sitio oficial actual pero no en la planilla original</x:v>
      </x:c>
    </x:row>
    <x:row r="79">
      <x:c r="A79" s="27" t="str">
        <x:v>Javier González Sanabria</x:v>
      </x:c>
      <x:c r="B79" s="27" t="str">
        <x:v>Exintegrante</x:v>
      </x:c>
      <x:c r="C79" s="27" t="str">
        <x:v>Exintegrante</x:v>
      </x:c>
      <x:c r="D79" s="27" t="str">
        <x:v>Becario Doctoral</x:v>
      </x:c>
      <x:c r="E79" s="27" t="str">
        <x:v>Grupo de Neurociencia de Sistemas</x:v>
      </x:c>
      <x:c r="F79" s="27" t="str">
        <x:v>Fisiología de la Conducta Animal</x:v>
      </x:c>
      <x:c r="G79" s="27" t="str">
        <x:v>Juan Belforte</x:v>
      </x:c>
      <x:c r="H79" s="27" t="str"/>
      <x:c r="I79" s="27" t="str"/>
      <x:c r="J79" s="27" t="str">
        <x:v>GONZÁLEZ SANABRIA, JAVIER A</x:v>
      </x:c>
      <x:c r="K79" s="27" t="str">
        <x:v>Integrantes Sitio Web</x:v>
      </x:c>
      <x:c r="L79" s="27" t="str">
        <x:v>Integrante / Colaborador</x:v>
      </x:c>
      <x:c r="M79" s="27" t="str">
        <x:v>IFIBIO</x:v>
      </x:c>
      <x:c r="N79" s="27" t="str">
        <x:v>Colaborador</x:v>
      </x:c>
      <x:c r="O79" s="27" t="str">
        <x:v>Grupo de Neurociencia de Sistemas</x:v>
      </x:c>
      <x:c r="P79" s="27" t="str">
        <x:v>Neurociencias</x:v>
      </x:c>
      <x:c r="Q79" s="27" t="str"/>
      <x:c r="R79" s="27" t="str"/>
      <x:c r="S79" s="27" t="str">
        <x:v>https://ifibio-uba.conicet.gov.ar/personal-del-instituto/ex-integrantes/</x:v>
      </x:c>
      <x:c r="T79" s="27" t="str">
        <x:v>2026-09-10</x:v>
      </x:c>
      <x:c r="U79" s="27" t="str"/>
    </x:row>
    <x:row r="80">
      <x:c r="A80" s="27" t="str">
        <x:v>Joaquín Ortiz</x:v>
      </x:c>
      <x:c r="B80" s="27" t="str">
        <x:v>Exintegrante</x:v>
      </x:c>
      <x:c r="C80" s="27" t="str">
        <x:v>Exintegrante</x:v>
      </x:c>
      <x:c r="D80" s="27" t="str">
        <x:v>Becario Doctoral</x:v>
      </x:c>
      <x:c r="E80" s="27" t="str">
        <x:v>Grupo de Pez Cebra</x:v>
      </x:c>
      <x:c r="F80" s="27" t="str">
        <x:v>Fisiopatología del SUH</x:v>
      </x:c>
      <x:c r="G80" s="27" t="str"/>
      <x:c r="H80" s="27" t="str"/>
      <x:c r="I80" s="27" t="str"/>
      <x:c r="J80" s="27" t="str">
        <x:v>ORTIZ, JOAQUIN</x:v>
      </x:c>
      <x:c r="K80" s="27" t="str">
        <x:v>Becarios CONICET</x:v>
      </x:c>
      <x:c r="L80" s="27" t="str">
        <x:v>Becario</x:v>
      </x:c>
      <x:c r="M80" s="27" t="str">
        <x:v>CONICET</x:v>
      </x:c>
      <x:c r="N80" s="27" t="str">
        <x:v>BECA INTERNA DOCTORAL</x:v>
      </x:c>
      <x:c r="O80" s="27" t="str">
        <x:v>Laboratorio de Fisiopatogenia</x:v>
      </x:c>
      <x:c r="P80" s="27" t="str">
        <x:v>Fisiopatología del SUH</x:v>
      </x:c>
      <x:c r="Q80" s="27" t="str"/>
      <x:c r="R80" s="27" t="str"/>
      <x:c r="S80" s="27" t="str">
        <x:v>https://ifibio-uba.conicet.gov.ar/personal-del-instituto/ex-integrantes/</x:v>
      </x:c>
      <x:c r="T80" s="27" t="str">
        <x:v>2026-09-10</x:v>
      </x:c>
      <x:c r="U80" s="27" t="str">
        <x:v>Laboratorio/grupo actual no coincide con la planilla original</x:v>
      </x:c>
    </x:row>
    <x:row r="81">
      <x:c r="A81" s="27" t="str">
        <x:v>Juan Martín Uehara</x:v>
      </x:c>
      <x:c r="B81" s="27" t="str">
        <x:v>Exintegrante</x:v>
      </x:c>
      <x:c r="C81" s="27" t="str">
        <x:v>Exintegrante</x:v>
      </x:c>
      <x:c r="D81" s="27" t="str">
        <x:v>Becario Doctoral</x:v>
      </x:c>
      <x:c r="E81" s="27" t="str">
        <x:v>Grupo de Neurociencia de Sistemas</x:v>
      </x:c>
      <x:c r="F81" s="27" t="str">
        <x:v>Fisiología de la Conducta Animal</x:v>
      </x:c>
      <x:c r="G81" s="27" t="str">
        <x:v>Juan Belforte</x:v>
      </x:c>
      <x:c r="H81" s="27" t="str"/>
      <x:c r="I81" s="27" t="str">
        <x:v>Los contenidos del CONICET están licenciados bajo Creative Commons Reconocimiento 2.5 Argentina License Ver Registro de Obsequios y Viajes de Funcionarios Ver verificador de recibos IFIBIO Houssay, (UBA-CONICET) Paraguay 2155, 7°piso, (CP: 1121), Ciudad de Buenos Aires, Argentina.</x:v>
      </x:c>
      <x:c r="J81" s="27" t="str">
        <x:v>UEHARA, JUAN MARTÍN</x:v>
      </x:c>
      <x:c r="K81" s="27" t="str">
        <x:v>Becarios CONICET</x:v>
      </x:c>
      <x:c r="L81" s="27" t="str">
        <x:v>Becario</x:v>
      </x:c>
      <x:c r="M81" s="27" t="str">
        <x:v>CONICET</x:v>
      </x:c>
      <x:c r="N81" s="27" t="str">
        <x:v>BECA INTERNA DOCTORAL</x:v>
      </x:c>
      <x:c r="O81" s="27" t="str">
        <x:v>Grupo de Neurociencia de Sistemas</x:v>
      </x:c>
      <x:c r="P81" s="27" t="str">
        <x:v>Neurociencias</x:v>
      </x:c>
      <x:c r="Q81" s="27" t="str"/>
      <x:c r="R81" s="27" t="str">
        <x:v>https://ifibio-uba.conicet.gov.ar/labs/</x:v>
      </x:c>
      <x:c r="S81" s="27" t="str">
        <x:v>https://ifibio-uba.conicet.gov.ar/personal-del-instituto/ex-integrantes/</x:v>
      </x:c>
      <x:c r="T81" s="27" t="str">
        <x:v>2026-09-10</x:v>
      </x:c>
      <x:c r="U81" s="27" t="str"/>
    </x:row>
    <x:row r="82">
      <x:c r="A82" s="27" t="str">
        <x:v>Julieta Reppetti</x:v>
      </x:c>
      <x:c r="B82" s="27" t="str">
        <x:v>Exintegrante</x:v>
      </x:c>
      <x:c r="C82" s="27" t="str">
        <x:v>Exintegrante</x:v>
      </x:c>
      <x:c r="D82" s="27" t="str">
        <x:v>Becaria Doctoral</x:v>
      </x:c>
      <x:c r="E82" s="27" t="str">
        <x:v>Laboratorio de Biología de la Reproducción</x:v>
      </x:c>
      <x:c r="F82" s="27" t="str"/>
      <x:c r="G82" s="27" t="str">
        <x:v>Alicia Damiano</x:v>
      </x:c>
      <x:c r="H82" s="27" t="str"/>
      <x:c r="I82" s="27" t="str"/>
      <x:c r="J82" s="27" t="str"/>
      <x:c r="K82" s="27" t="str"/>
      <x:c r="L82" s="27" t="str"/>
      <x:c r="M82" s="27" t="str"/>
      <x:c r="N82" s="27" t="str"/>
      <x:c r="O82" s="27" t="str"/>
      <x:c r="P82" s="27" t="str"/>
      <x:c r="Q82" s="27" t="str"/>
      <x:c r="R82" s="27" t="str"/>
      <x:c r="S82" s="27" t="str">
        <x:v>https://ifibio-uba.conicet.gov.ar/personal-del-instituto/ex-integrantes/</x:v>
      </x:c>
      <x:c r="T82" s="27" t="str">
        <x:v>2026-09-10</x:v>
      </x:c>
      <x:c r="U82" s="27" t="str">
        <x:v>Figura en el sitio oficial actual pero no en la planilla original</x:v>
      </x:c>
    </x:row>
    <x:row r="83">
      <x:c r="A83" s="27" t="str">
        <x:v>Lilian Fischer Sigel</x:v>
      </x:c>
      <x:c r="B83" s="27" t="str">
        <x:v>Exintegrante</x:v>
      </x:c>
      <x:c r="C83" s="27" t="str">
        <x:v>Exintegrante</x:v>
      </x:c>
      <x:c r="D83" s="27" t="str">
        <x:v>Becaria Doctoral</x:v>
      </x:c>
      <x:c r="E83" s="27" t="str">
        <x:v>Laboratorio de Fisiología Renal</x:v>
      </x:c>
      <x:c r="F83" s="27" t="str">
        <x:v>Biofísica de Aquaporinas</x:v>
      </x:c>
      <x:c r="G83" s="27" t="str">
        <x:v>Claudia Silberstein</x:v>
      </x:c>
      <x:c r="H83" s="27" t="str"/>
      <x:c r="I83" s="27" t="str"/>
      <x:c r="J83" s="27" t="str">
        <x:v>FISCHER SIGEL, LILIAN KARINA</x:v>
      </x:c>
      <x:c r="K83" s="27" t="str">
        <x:v>Integrantes Sitio Web</x:v>
      </x:c>
      <x:c r="L83" s="27" t="str">
        <x:v>Integrante / Colaborador</x:v>
      </x:c>
      <x:c r="M83" s="27" t="str">
        <x:v>IFIBIO</x:v>
      </x:c>
      <x:c r="N83" s="27" t="str">
        <x:v>Colaboradora</x:v>
      </x:c>
      <x:c r="O83" s="27" t="str">
        <x:v>Laboratorio de Biomembranas</x:v>
      </x:c>
      <x:c r="P83" s="27" t="str">
        <x:v>Biofísica de Aquaporinas</x:v>
      </x:c>
      <x:c r="Q83" s="27" t="str"/>
      <x:c r="R83" s="27" t="str"/>
      <x:c r="S83" s="27" t="str">
        <x:v>https://ifibio-uba.conicet.gov.ar/personal-del-instituto/ex-integrantes/</x:v>
      </x:c>
      <x:c r="T83" s="27" t="str">
        <x:v>2026-09-10</x:v>
      </x:c>
      <x:c r="U83" s="27" t="str">
        <x:v>Laboratorio/grupo actual no coincide con la planilla original</x:v>
      </x:c>
    </x:row>
    <x:row r="84">
      <x:c r="A84" s="27" t="str">
        <x:v>Luis Riquelme</x:v>
      </x:c>
      <x:c r="B84" s="27" t="str">
        <x:v>Exintegrante</x:v>
      </x:c>
      <x:c r="C84" s="27" t="str">
        <x:v>Exintegrante</x:v>
      </x:c>
      <x:c r="D84" s="27" t="str">
        <x:v>Investigador UBA</x:v>
      </x:c>
      <x:c r="E84" s="27" t="str">
        <x:v>Grupo de Neurociencia de Sistemas</x:v>
      </x:c>
      <x:c r="F84" s="27" t="str"/>
      <x:c r="G84" s="27" t="str"/>
      <x:c r="H84" s="27" t="str"/>
      <x:c r="I84" s="27" t="str"/>
      <x:c r="J84" s="27" t="str"/>
      <x:c r="K84" s="27" t="str"/>
      <x:c r="L84" s="27" t="str"/>
      <x:c r="M84" s="27" t="str"/>
      <x:c r="N84" s="27" t="str"/>
      <x:c r="O84" s="27" t="str"/>
      <x:c r="P84" s="27" t="str"/>
      <x:c r="Q84" s="27" t="str"/>
      <x:c r="R84" s="27" t="str"/>
      <x:c r="S84" s="27" t="str">
        <x:v>https://ifibio-uba.conicet.gov.ar/personal-del-instituto/ex-integrantes/</x:v>
      </x:c>
      <x:c r="T84" s="27" t="str">
        <x:v>2026-09-10</x:v>
      </x:c>
      <x:c r="U84" s="27" t="str">
        <x:v>Figura en el sitio oficial actual pero no en la planilla original</x:v>
      </x:c>
    </x:row>
    <x:row r="85">
      <x:c r="A85" s="27" t="str">
        <x:v>Marcos Coletti</x:v>
      </x:c>
      <x:c r="B85" s="27" t="str">
        <x:v>Exintegrante</x:v>
      </x:c>
      <x:c r="C85" s="27" t="str">
        <x:v>Exintegrante</x:v>
      </x:c>
      <x:c r="D85" s="27" t="str">
        <x:v>Becario Doctoral</x:v>
      </x:c>
      <x:c r="E85" s="27" t="str">
        <x:v>Grupo de Neurociencia de Sistemas</x:v>
      </x:c>
      <x:c r="F85" s="27" t="str">
        <x:v>Fisiología de Circuitos Neuronales</x:v>
      </x:c>
      <x:c r="G85" s="27" t="str">
        <x:v>Gustavo Murer</x:v>
      </x:c>
      <x:c r="H85" s="27" t="str"/>
      <x:c r="I85" s="27" t="str"/>
      <x:c r="J85" s="27" t="str"/>
      <x:c r="K85" s="27" t="str"/>
      <x:c r="L85" s="27" t="str"/>
      <x:c r="M85" s="27" t="str"/>
      <x:c r="N85" s="27" t="str"/>
      <x:c r="O85" s="27" t="str"/>
      <x:c r="P85" s="27" t="str"/>
      <x:c r="Q85" s="27" t="str"/>
      <x:c r="R85" s="27" t="str"/>
      <x:c r="S85" s="27" t="str">
        <x:v>https://ifibio-uba.conicet.gov.ar/personal-del-instituto/ex-integrantes/</x:v>
      </x:c>
      <x:c r="T85" s="27" t="str">
        <x:v>2026-09-10</x:v>
      </x:c>
      <x:c r="U85" s="27" t="str">
        <x:v>Figura en el sitio oficial actual pero no en la planilla original</x:v>
      </x:c>
    </x:row>
    <x:row r="86">
      <x:c r="A86" s="27" t="str">
        <x:v>María Florencia Santos</x:v>
      </x:c>
      <x:c r="B86" s="27" t="str">
        <x:v>Exintegrante</x:v>
      </x:c>
      <x:c r="C86" s="27" t="str">
        <x:v>Exintegrante</x:v>
      </x:c>
      <x:c r="D86" s="27" t="str">
        <x:v>Becaria Doctoral</x:v>
      </x:c>
      <x:c r="E86" s="27" t="str">
        <x:v>Grupo de Neurociencia de Sistemas</x:v>
      </x:c>
      <x:c r="F86" s="27" t="str">
        <x:v>Neurofisiología del Aprendizaje</x:v>
      </x:c>
      <x:c r="G86" s="27" t="str">
        <x:v>Camila Zold</x:v>
      </x:c>
      <x:c r="H86" s="27" t="str"/>
      <x:c r="I86" s="27" t="str"/>
      <x:c r="J86" s="27" t="str">
        <x:v>SANTOS, MARÍA FLORENCIA</x:v>
      </x:c>
      <x:c r="K86" s="27" t="str">
        <x:v>Becarios CONICET</x:v>
      </x:c>
      <x:c r="L86" s="27" t="str">
        <x:v>Becario</x:v>
      </x:c>
      <x:c r="M86" s="27" t="str">
        <x:v>CONICET</x:v>
      </x:c>
      <x:c r="N86" s="27" t="str">
        <x:v>BECA INTERNA DOCTORAL</x:v>
      </x:c>
      <x:c r="O86" s="27" t="str">
        <x:v>Grupo de Neurociencia de Sistemas</x:v>
      </x:c>
      <x:c r="P86" s="27" t="str">
        <x:v>Neurociencias</x:v>
      </x:c>
      <x:c r="Q86" s="27" t="str"/>
      <x:c r="R86" s="27" t="str"/>
      <x:c r="S86" s="27" t="str">
        <x:v>https://ifibio-uba.conicet.gov.ar/personal-del-instituto/ex-integrantes/</x:v>
      </x:c>
      <x:c r="T86" s="27" t="str">
        <x:v>2026-09-10</x:v>
      </x:c>
      <x:c r="U86" s="27" t="str"/>
    </x:row>
    <x:row r="87">
      <x:c r="A87" s="27" t="str">
        <x:v>Mariano Belluscio</x:v>
      </x:c>
      <x:c r="B87" s="27" t="str">
        <x:v>Exintegrante</x:v>
      </x:c>
      <x:c r="C87" s="27" t="str">
        <x:v>Exintegrante</x:v>
      </x:c>
      <x:c r="D87" s="27" t="str">
        <x:v>Investigador Independiente</x:v>
      </x:c>
      <x:c r="E87" s="27" t="str">
        <x:v>Grupo de Neurociencia de Sistemas</x:v>
      </x:c>
      <x:c r="F87" s="27" t="str">
        <x:v>Bases Neuronales del Comportamiento</x:v>
      </x:c>
      <x:c r="G87" s="27" t="str"/>
      <x:c r="H87" s="27" t="str"/>
      <x:c r="I87" s="27" t="str"/>
      <x:c r="J87" s="27" t="str">
        <x:v>BELLUSCIO, MARIANO ANDRES</x:v>
      </x:c>
      <x:c r="K87" s="27" t="str">
        <x:v>Integrantes Sitio Web</x:v>
      </x:c>
      <x:c r="L87" s="27" t="str">
        <x:v>Investigador / IR</x:v>
      </x:c>
      <x:c r="M87" s="27" t="str">
        <x:v>IFIBIO / CONICET</x:v>
      </x:c>
      <x:c r="N87" s="27" t="str">
        <x:v>Investigador Adjunto</x:v>
      </x:c>
      <x:c r="O87" s="27" t="str">
        <x:v>Grupo de Neurociencia de Sistemas</x:v>
      </x:c>
      <x:c r="P87" s="27" t="str">
        <x:v>Bases Neuronales del Comportamiento</x:v>
      </x:c>
      <x:c r="Q87" s="27" t="str"/>
      <x:c r="R87" s="27" t="str"/>
      <x:c r="S87" s="27" t="str">
        <x:v>https://ifibio-uba.conicet.gov.ar/personal-del-instituto/ex-integrantes/</x:v>
      </x:c>
      <x:c r="T87" s="27" t="str">
        <x:v>2026-09-10</x:v>
      </x:c>
      <x:c r="U87" s="27" t="str">
        <x:v>Categoría posiblemente actualizada: planilla=ADJUNTO; web=INDEPENDIENTE</x:v>
      </x:c>
    </x:row>
    <x:row r="88">
      <x:c r="A88" s="27" t="str">
        <x:v>Natalia Szpilbarg</x:v>
      </x:c>
      <x:c r="B88" s="27" t="str">
        <x:v>Exintegrante</x:v>
      </x:c>
      <x:c r="C88" s="27" t="str">
        <x:v>Exintegrante</x:v>
      </x:c>
      <x:c r="D88" s="27" t="str">
        <x:v>Investigadora Asistente</x:v>
      </x:c>
      <x:c r="E88" s="27" t="str">
        <x:v>Laboratorio de Biología de la Reproducción</x:v>
      </x:c>
      <x:c r="F88" s="27" t="str">
        <x:v>Síndrome Urémico Hemolítico</x:v>
      </x:c>
      <x:c r="G88" s="27" t="str">
        <x:v>Alicia Damiano</x:v>
      </x:c>
      <x:c r="H88" s="27" t="str"/>
      <x:c r="I88" s="27" t="str"/>
      <x:c r="J88" s="27" t="str">
        <x:v>SZPILBARG, NATALIA</x:v>
      </x:c>
      <x:c r="K88" s="27" t="str">
        <x:v>Investigadores CONICET</x:v>
      </x:c>
      <x:c r="L88" s="27" t="str">
        <x:v>Investigador</x:v>
      </x:c>
      <x:c r="M88" s="27" t="str">
        <x:v>CONICET</x:v>
      </x:c>
      <x:c r="N88" s="27" t="str">
        <x:v>INV ASISTENTE</x:v>
      </x:c>
      <x:c r="O88" s="27" t="str">
        <x:v>Laboratorio de Fisiopatogenia</x:v>
      </x:c>
      <x:c r="P88" s="27" t="str">
        <x:v>Síndrome Urémico Hemolítico</x:v>
      </x:c>
      <x:c r="Q88" s="27" t="str"/>
      <x:c r="R88" s="27" t="str"/>
      <x:c r="S88" s="27" t="str">
        <x:v>https://ifibio-uba.conicet.gov.ar/personal-del-instituto/ex-integrantes/</x:v>
      </x:c>
      <x:c r="T88" s="27" t="str">
        <x:v>2026-09-10</x:v>
      </x:c>
      <x:c r="U88" s="27" t="str">
        <x:v>Laboratorio/grupo actual no coincide con la planilla original</x:v>
      </x:c>
    </x:row>
    <x:row r="89">
      <x:c r="A89" s="27" t="str">
        <x:v>Nicolás Cutrera</x:v>
      </x:c>
      <x:c r="B89" s="27" t="str">
        <x:v>Exintegrante</x:v>
      </x:c>
      <x:c r="C89" s="27" t="str">
        <x:v>Exintegrante</x:v>
      </x:c>
      <x:c r="D89" s="27" t="str">
        <x:v>Becario Doctoral</x:v>
      </x:c>
      <x:c r="E89" s="27" t="str">
        <x:v>Laboratorio de Biomembranas</x:v>
      </x:c>
      <x:c r="F89" s="27" t="str">
        <x:v>Fisiología y Fisiopatología de las Acuaporinas</x:v>
      </x:c>
      <x:c r="G89" s="27" t="str">
        <x:v>Claudia Capurro</x:v>
      </x:c>
      <x:c r="H89" s="27" t="str"/>
      <x:c r="I89" s="27" t="str"/>
      <x:c r="J89" s="27" t="str">
        <x:v>CUTRERA, NICOLAS MARIA</x:v>
      </x:c>
      <x:c r="K89" s="27" t="str">
        <x:v>Becarios CONICET</x:v>
      </x:c>
      <x:c r="L89" s="27" t="str">
        <x:v>Becario</x:v>
      </x:c>
      <x:c r="M89" s="27" t="str">
        <x:v>CONICET</x:v>
      </x:c>
      <x:c r="N89" s="27" t="str">
        <x:v>INTERNA DE FIN DE DOCTORADO</x:v>
      </x:c>
      <x:c r="O89" s="27" t="str">
        <x:v>Laboratorio de Biomembranas</x:v>
      </x:c>
      <x:c r="P89" s="27" t="str">
        <x:v>Biofísica de Aquaporinas</x:v>
      </x:c>
      <x:c r="Q89" s="27" t="str"/>
      <x:c r="R89" s="27" t="str"/>
      <x:c r="S89" s="27" t="str">
        <x:v>https://ifibio-uba.conicet.gov.ar/personal-del-instituto/ex-integrantes/</x:v>
      </x:c>
      <x:c r="T89" s="27" t="str">
        <x:v>2026-09-10</x:v>
      </x:c>
      <x:c r="U89" s="27" t="str"/>
    </x:row>
    <x:row r="90">
      <x:c r="A90" s="27" t="str">
        <x:v>Paula Ford</x:v>
      </x:c>
      <x:c r="B90" s="27" t="str">
        <x:v>Exintegrante</x:v>
      </x:c>
      <x:c r="C90" s="27" t="str">
        <x:v>Exintegrante</x:v>
      </x:c>
      <x:c r="D90" s="27" t="str">
        <x:v>Investigadora Independiente</x:v>
      </x:c>
      <x:c r="E90" s="27" t="str">
        <x:v>Laboratorio de Biomembranas</x:v>
      </x:c>
      <x:c r="F90" s="27" t="str">
        <x:v>Biofísica de Aquaporinas</x:v>
      </x:c>
      <x:c r="G90" s="27" t="str">
        <x:v>Claudia Capurro</x:v>
      </x:c>
      <x:c r="H90" s="27" t="str"/>
      <x:c r="I90" s="27" t="str"/>
      <x:c r="J90" s="27" t="str">
        <x:v>FORD, PAULA</x:v>
      </x:c>
      <x:c r="K90" s="27" t="str">
        <x:v>Investigadores CONICET</x:v>
      </x:c>
      <x:c r="L90" s="27" t="str">
        <x:v>Investigador</x:v>
      </x:c>
      <x:c r="M90" s="27" t="str">
        <x:v>CONICET</x:v>
      </x:c>
      <x:c r="N90" s="27" t="str">
        <x:v>INV INDEPENDIENTE</x:v>
      </x:c>
      <x:c r="O90" s="27" t="str">
        <x:v>Laboratorio de Biomembranas</x:v>
      </x:c>
      <x:c r="P90" s="27" t="str">
        <x:v>Biofísica de Aquaporinas</x:v>
      </x:c>
      <x:c r="Q90" s="27" t="str">
        <x:v>https://www.conicet.gov.ar/new_scp/detalle.php?id=23716&amp;keywords=cecilia%2Bmartinez&amp;datos_academicos=yes</x:v>
      </x:c>
      <x:c r="R90" s="27" t="str"/>
      <x:c r="S90" s="27" t="str">
        <x:v>https://ifibio-uba.conicet.gov.ar/personal-del-instituto/ex-integrantes/</x:v>
      </x:c>
      <x:c r="T90" s="27" t="str">
        <x:v>2026-09-10</x:v>
      </x:c>
      <x:c r="U90" s="27" t="str"/>
    </x:row>
    <x:row r="91">
      <x:c r="A91" s="27" t="str">
        <x:v>Santiago Merlo</x:v>
      </x:c>
      <x:c r="B91" s="27" t="str">
        <x:v>Exintegrante</x:v>
      </x:c>
      <x:c r="C91" s="27" t="str">
        <x:v>Exintegrante</x:v>
      </x:c>
      <x:c r="D91" s="27" t="str">
        <x:v>Becario Doctoral</x:v>
      </x:c>
      <x:c r="E91" s="27" t="str">
        <x:v>Grupo de Neurociencia de Sistemas</x:v>
      </x:c>
      <x:c r="F91" s="27" t="str">
        <x:v>Bases Neuronales del Comportamiento</x:v>
      </x:c>
      <x:c r="G91" s="27" t="str"/>
      <x:c r="H91" s="27" t="str"/>
      <x:c r="I91" s="27" t="str"/>
      <x:c r="J91" s="27" t="str"/>
      <x:c r="K91" s="27" t="str"/>
      <x:c r="L91" s="27" t="str"/>
      <x:c r="M91" s="27" t="str"/>
      <x:c r="N91" s="27" t="str"/>
      <x:c r="O91" s="27" t="str"/>
      <x:c r="P91" s="27" t="str"/>
      <x:c r="Q91" s="27" t="str"/>
      <x:c r="R91" s="27" t="str"/>
      <x:c r="S91" s="27" t="str">
        <x:v>https://ifibio-uba.conicet.gov.ar/personal-del-instituto/ex-integrantes/</x:v>
      </x:c>
      <x:c r="T91" s="27" t="str">
        <x:v>2026-09-10</x:v>
      </x:c>
      <x:c r="U91" s="27" t="str">
        <x:v>Figura en el sitio oficial actual pero no en la planilla original</x:v>
      </x:c>
    </x:row>
    <x:row r="92">
      <x:c r="A92" s="27" t="str">
        <x:v>Valeria Della Maggiore</x:v>
      </x:c>
      <x:c r="B92" s="27" t="str">
        <x:v>Exintegrante</x:v>
      </x:c>
      <x:c r="C92" s="27" t="str">
        <x:v>Exintegrante</x:v>
      </x:c>
      <x:c r="D92" s="27" t="str">
        <x:v>Investigadora Principal</x:v>
      </x:c>
      <x:c r="E92" s="27" t="str">
        <x:v>Grupo de Neurociencia de Sistemas</x:v>
      </x:c>
      <x:c r="F92" s="27" t="str">
        <x:v>Fisiología de la Acción</x:v>
      </x:c>
      <x:c r="G92" s="27" t="str"/>
      <x:c r="H92" s="27" t="str"/>
      <x:c r="I92" s="27" t="str"/>
      <x:c r="J92" s="27" t="str">
        <x:v>DELLA MAGGIORE, VALERIA</x:v>
      </x:c>
      <x:c r="K92" s="27" t="str">
        <x:v>Integrantes Sitio Web</x:v>
      </x:c>
      <x:c r="L92" s="27" t="str">
        <x:v>Investigador / IR</x:v>
      </x:c>
      <x:c r="M92" s="27" t="str">
        <x:v>IFIBIO / CONICET</x:v>
      </x:c>
      <x:c r="N92" s="27" t="str">
        <x:v>Investigadora Principal</x:v>
      </x:c>
      <x:c r="O92" s="27" t="str">
        <x:v>Grupo de Neurociencia de Sistemas</x:v>
      </x:c>
      <x:c r="P92" s="27" t="str">
        <x:v>Fisiología de la Acción</x:v>
      </x:c>
      <x:c r="Q92" s="27" t="str">
        <x:v>https://www.conicet.gov.ar/new_scp/detalle.php?id=20080&amp;keywords=paula%2Bford&amp;datos_academicos=yes</x:v>
      </x:c>
      <x:c r="R92" s="27" t="str"/>
      <x:c r="S92" s="27" t="str">
        <x:v>https://ifibio-uba.conicet.gov.ar/personal-del-instituto/ex-integrantes/</x:v>
      </x:c>
      <x:c r="T92" s="27" t="str">
        <x:v>2026-09-10</x:v>
      </x:c>
      <x:c r="U92" s="27" t="str"/>
    </x:row>
    <x:row r="93">
      <x:c r="A93" s="27" t="str">
        <x:v>Viviana Bumaschny</x:v>
      </x:c>
      <x:c r="B93" s="27" t="str">
        <x:v>Exintegrante</x:v>
      </x:c>
      <x:c r="C93" s="27" t="str">
        <x:v>Exintegrante</x:v>
      </x:c>
      <x:c r="D93" s="27" t="str">
        <x:v>Investigadora Adjunta</x:v>
      </x:c>
      <x:c r="E93" s="27" t="str">
        <x:v>Grupo de Neurociencia de Sistemas</x:v>
      </x:c>
      <x:c r="F93" s="27" t="str">
        <x:v>Neuroendocrinología Molecular</x:v>
      </x:c>
      <x:c r="G93" s="27" t="str"/>
      <x:c r="H93" s="27" t="str"/>
      <x:c r="I93" s="27" t="str"/>
      <x:c r="J93" s="27" t="str">
        <x:v>BUMASCHNY, VIVIANA FLORENCIA</x:v>
      </x:c>
      <x:c r="K93" s="27" t="str">
        <x:v>Investigadores CONICET</x:v>
      </x:c>
      <x:c r="L93" s="27" t="str">
        <x:v>Investigador</x:v>
      </x:c>
      <x:c r="M93" s="27" t="str">
        <x:v>CONICET</x:v>
      </x:c>
      <x:c r="N93" s="27" t="str">
        <x:v>INV ADJUNTO</x:v>
      </x:c>
      <x:c r="O93" s="27" t="str">
        <x:v>Grupo de Neurociencia de Sistemas</x:v>
      </x:c>
      <x:c r="P93" s="27" t="str">
        <x:v>Neuroendocrinología Molecular</x:v>
      </x:c>
      <x:c r="Q93" s="27" t="str">
        <x:v>https://www.conicet.gov.ar/new_scp/detalle.php?id=26306&amp;keywords=della%2Bmaggiore&amp;datos_academicos=yes</x:v>
      </x:c>
      <x:c r="R93" s="27" t="str"/>
      <x:c r="S93" s="27" t="str">
        <x:v>https://ifibio-uba.conicet.gov.ar/personal-del-instituto/ex-integrantes/</x:v>
      </x:c>
      <x:c r="T93" s="27" t="str">
        <x:v>2026-09-10</x:v>
      </x:c>
      <x:c r="U93" s="27" t="str"/>
    </x:row>
    <x:row r="94">
      <x:c r="A94" s="27" t="str">
        <x:v>Ana Elizabeth Mamani</x:v>
      </x:c>
      <x:c r="B94" s="27" t="str">
        <x:v>No encontrado en páginas actuales</x:v>
      </x:c>
      <x:c r="C94" s="27" t="str"/>
      <x:c r="D94" s="27" t="str"/>
      <x:c r="E94" s="27" t="str"/>
      <x:c r="F94" s="27" t="str"/>
      <x:c r="G94" s="27" t="str"/>
      <x:c r="H94" s="27" t="str"/>
      <x:c r="I94" s="27" t="str"/>
      <x:c r="J94" s="27" t="str">
        <x:v>MAMANI, ANA ELIZABETH</x:v>
      </x:c>
      <x:c r="K94" s="27" t="str">
        <x:v>Personal de Gestión CONICET</x:v>
      </x:c>
      <x:c r="L94" s="27" t="str">
        <x:v>Personal de Gestión</x:v>
      </x:c>
      <x:c r="M94" s="27" t="str">
        <x:v>CONICET</x:v>
      </x:c>
      <x:c r="N94" s="27" t="str">
        <x:v>GRAL. CONT. ART9C05</x:v>
      </x:c>
      <x:c r="O94" s="27" t="str">
        <x:v>Gestión y Administración</x:v>
      </x:c>
      <x:c r="P94" s="27" t="str">
        <x:v>Personal de Gestión</x:v>
      </x:c>
      <x:c r="Q94" s="27" t="str"/>
      <x:c r="R94" s="27" t="str"/>
      <x:c r="S94" s="27" t="str"/>
      <x:c r="T94" s="27" t="str">
        <x:v>2026-09-10</x:v>
      </x:c>
      <x:c r="U94" s="27" t="str">
        <x:v>Presente en la planilla original pero no localizado en las páginas actuales relevadas</x:v>
      </x:c>
    </x:row>
    <x:row r="95">
      <x:c r="A95" s="27" t="str">
        <x:v>Camila María Polotto</x:v>
      </x:c>
      <x:c r="B95" s="27" t="str">
        <x:v>No encontrado en páginas actuales</x:v>
      </x:c>
      <x:c r="C95" s="27" t="str"/>
      <x:c r="D95" s="27" t="str"/>
      <x:c r="E95" s="27" t="str"/>
      <x:c r="F95" s="27" t="str"/>
      <x:c r="G95" s="27" t="str"/>
      <x:c r="H95" s="27" t="str"/>
      <x:c r="I95" s="27" t="str"/>
      <x:c r="J95" s="27" t="str">
        <x:v>POLOTTO, CAMILA MARÍA</x:v>
      </x:c>
      <x:c r="K95" s="27" t="str">
        <x:v>Personal No CONICET</x:v>
      </x:c>
      <x:c r="L95" s="27" t="str">
        <x:v>Becario</x:v>
      </x:c>
      <x:c r="M95" s="27" t="str">
        <x:v>NO CONICET</x:v>
      </x:c>
      <x:c r="N95" s="27" t="str">
        <x:v>Becario</x:v>
      </x:c>
      <x:c r="O95" s="27" t="str">
        <x:v>Grupo de Neurociencia de Sistemas</x:v>
      </x:c>
      <x:c r="P95" s="27" t="str">
        <x:v>Neurociencias</x:v>
      </x:c>
      <x:c r="Q95" s="27" t="str"/>
      <x:c r="R95" s="27" t="str"/>
      <x:c r="S95" s="27" t="str"/>
      <x:c r="T95" s="27" t="str">
        <x:v>2026-09-10</x:v>
      </x:c>
      <x:c r="U95" s="27" t="str">
        <x:v>Presente en la planilla original pero no localizado en las páginas actuales relevadas</x:v>
      </x:c>
    </x:row>
    <x:row r="96">
      <x:c r="A96" s="27" t="str">
        <x:v>Kianny Miroslava Sanchez Armijos</x:v>
      </x:c>
      <x:c r="B96" s="27" t="str">
        <x:v>No encontrado en páginas actuales</x:v>
      </x:c>
      <x:c r="C96" s="27" t="str"/>
      <x:c r="D96" s="27" t="str"/>
      <x:c r="E96" s="27" t="str"/>
      <x:c r="F96" s="27" t="str"/>
      <x:c r="G96" s="27" t="str"/>
      <x:c r="H96" s="27" t="str"/>
      <x:c r="I96" s="27" t="str"/>
      <x:c r="J96" s="27" t="str">
        <x:v>SANCHEZ ARMIJOS, KIANNY MIROSLAVA</x:v>
      </x:c>
      <x:c r="K96" s="27" t="str">
        <x:v>Personal No CONICET</x:v>
      </x:c>
      <x:c r="L96" s="27" t="str">
        <x:v>Becario</x:v>
      </x:c>
      <x:c r="M96" s="27" t="str">
        <x:v>NO CONICET</x:v>
      </x:c>
      <x:c r="N96" s="27" t="str">
        <x:v>Becario</x:v>
      </x:c>
      <x:c r="O96" s="27" t="str">
        <x:v>Grupo de Neurociencia de Sistemas</x:v>
      </x:c>
      <x:c r="P96" s="27" t="str">
        <x:v>Neurociencias</x:v>
      </x:c>
      <x:c r="Q96" s="27" t="str"/>
      <x:c r="R96" s="27" t="str"/>
      <x:c r="S96" s="27" t="str"/>
      <x:c r="T96" s="27" t="str">
        <x:v>2026-09-10</x:v>
      </x:c>
      <x:c r="U96" s="27" t="str">
        <x:v>Presente en la planilla original pero no localizado en las páginas actuales relevadas</x:v>
      </x:c>
    </x:row>
    <x:row r="97">
      <x:c r="A97" s="27" t="str">
        <x:v>Luis Lazaro</x:v>
      </x:c>
      <x:c r="B97" s="27" t="str">
        <x:v>No encontrado en páginas actuales</x:v>
      </x:c>
      <x:c r="C97" s="27" t="str"/>
      <x:c r="D97" s="27" t="str"/>
      <x:c r="E97" s="27" t="str"/>
      <x:c r="F97" s="27" t="str"/>
      <x:c r="G97" s="27" t="str"/>
      <x:c r="H97" s="27" t="str"/>
      <x:c r="I97" s="27" t="str"/>
      <x:c r="J97" s="27" t="str">
        <x:v>LAZARO, LUIS</x:v>
      </x:c>
      <x:c r="K97" s="27" t="str">
        <x:v>Personal No CONICET</x:v>
      </x:c>
      <x:c r="L97" s="27" t="str">
        <x:v>Becario</x:v>
      </x:c>
      <x:c r="M97" s="27" t="str">
        <x:v>NO CONICET</x:v>
      </x:c>
      <x:c r="N97" s="27" t="str">
        <x:v>Becario</x:v>
      </x:c>
      <x:c r="O97" s="27" t="str">
        <x:v>Grupo de Neurociencia de Sistemas</x:v>
      </x:c>
      <x:c r="P97" s="27" t="str">
        <x:v>Neurociencias</x:v>
      </x:c>
      <x:c r="Q97" s="27" t="str"/>
      <x:c r="R97" s="27" t="str"/>
      <x:c r="S97" s="27" t="str"/>
      <x:c r="T97" s="27" t="str">
        <x:v>2026-09-10</x:v>
      </x:c>
      <x:c r="U97" s="27" t="str">
        <x:v>Presente en la planilla original pero no localizado en las páginas actuales relevadas</x:v>
      </x:c>
    </x:row>
    <x:row r="98">
      <x:c r="A98" s="27" t="str">
        <x:v>María Camila Bagliani</x:v>
      </x:c>
      <x:c r="B98" s="27" t="str">
        <x:v>No encontrado en páginas actuales</x:v>
      </x:c>
      <x:c r="C98" s="27" t="str"/>
      <x:c r="D98" s="27" t="str"/>
      <x:c r="E98" s="27" t="str"/>
      <x:c r="F98" s="27" t="str"/>
      <x:c r="G98" s="27" t="str"/>
      <x:c r="H98" s="27" t="str"/>
      <x:c r="I98" s="27" t="str"/>
      <x:c r="J98" s="27" t="str">
        <x:v>BAGLIANI, MARÍA CAMILA</x:v>
      </x:c>
      <x:c r="K98" s="27" t="str">
        <x:v>Integrantes Sitio Web</x:v>
      </x:c>
      <x:c r="L98" s="27" t="str">
        <x:v>Integrante / Colaborador</x:v>
      </x:c>
      <x:c r="M98" s="27" t="str">
        <x:v>IFIBIO</x:v>
      </x:c>
      <x:c r="N98" s="27" t="str">
        <x:v>Colaboradora</x:v>
      </x:c>
      <x:c r="O98" s="27" t="str">
        <x:v>Grupo de Neurociencia de Sistemas</x:v>
      </x:c>
      <x:c r="P98" s="27" t="str">
        <x:v>Neurociencias</x:v>
      </x:c>
      <x:c r="Q98" s="27" t="str"/>
      <x:c r="R98" s="27" t="str"/>
      <x:c r="S98" s="27" t="str"/>
      <x:c r="T98" s="27" t="str">
        <x:v>2026-09-10</x:v>
      </x:c>
      <x:c r="U98" s="27" t="str">
        <x:v>Presente en la planilla original pero no localizado en las páginas actuales relevadas</x:v>
      </x:c>
    </x:row>
    <x:row r="99">
      <x:c r="A99" s="27" t="str">
        <x:v>Mauricio Norman Montenegro</x:v>
      </x:c>
      <x:c r="B99" s="27" t="str">
        <x:v>No encontrado en páginas actuales</x:v>
      </x:c>
      <x:c r="C99" s="27" t="str"/>
      <x:c r="D99" s="27" t="str"/>
      <x:c r="E99" s="27" t="str"/>
      <x:c r="F99" s="27" t="str"/>
      <x:c r="G99" s="27" t="str"/>
      <x:c r="H99" s="27" t="str"/>
      <x:c r="I99" s="27" t="str"/>
      <x:c r="J99" s="27" t="str">
        <x:v>MONTENEGRO, MAURICIO NORMAN</x:v>
      </x:c>
      <x:c r="K99" s="27" t="str">
        <x:v>Becarios CONICET</x:v>
      </x:c>
      <x:c r="L99" s="27" t="str">
        <x:v>Becario</x:v>
      </x:c>
      <x:c r="M99" s="27" t="str">
        <x:v>CONICET</x:v>
      </x:c>
      <x:c r="N99" s="27" t="str">
        <x:v>POST.DOCTORAL INT.</x:v>
      </x:c>
      <x:c r="O99" s="27" t="str">
        <x:v>Grupo de Neurociencia de Sistemas</x:v>
      </x:c>
      <x:c r="P99" s="27" t="str">
        <x:v>Fisiología del Sistema Nervioso</x:v>
      </x:c>
      <x:c r="Q99" s="27" t="str"/>
      <x:c r="R99" s="27" t="str"/>
      <x:c r="S99" s="27" t="str"/>
      <x:c r="T99" s="27" t="str">
        <x:v>2026-09-10</x:v>
      </x:c>
      <x:c r="U99" s="27" t="str">
        <x:v>Presente en la planilla original pero no localizado en las páginas actuales relevadas</x:v>
      </x:c>
    </x:row>
    <x:row r="100">
      <x:c r="A100" s="27" t="str">
        <x:v>Wanderson Marques Da Silva</x:v>
      </x:c>
      <x:c r="B100" s="27" t="str">
        <x:v>No encontrado en páginas actuales</x:v>
      </x:c>
      <x:c r="C100" s="27" t="str"/>
      <x:c r="D100" s="27" t="str"/>
      <x:c r="E100" s="27" t="str"/>
      <x:c r="F100" s="27" t="str"/>
      <x:c r="G100" s="27" t="str"/>
      <x:c r="H100" s="27" t="str"/>
      <x:c r="I100" s="27" t="str"/>
      <x:c r="J100" s="27" t="str">
        <x:v>MARQUES DA SILVA, WANDERSON</x:v>
      </x:c>
      <x:c r="K100" s="27" t="str">
        <x:v>Investigadores CONICET</x:v>
      </x:c>
      <x:c r="L100" s="27" t="str">
        <x:v>Investigador</x:v>
      </x:c>
      <x:c r="M100" s="27" t="str">
        <x:v>CONICET</x:v>
      </x:c>
      <x:c r="N100" s="27" t="str">
        <x:v>INV ADJUNTO</x:v>
      </x:c>
      <x:c r="O100" s="27" t="str">
        <x:v>Laboratorio de Fisiopatogenia</x:v>
      </x:c>
      <x:c r="P100" s="27" t="str">
        <x:v>Pathogenesis de E. coli y Toxina Shiga</x:v>
      </x:c>
      <x:c r="Q100" s="27" t="str"/>
      <x:c r="R100" s="27" t="str"/>
      <x:c r="S100" s="27" t="str"/>
      <x:c r="T100" s="27" t="str">
        <x:v>2026-09-10</x:v>
      </x:c>
      <x:c r="U100" s="27" t="str">
        <x:v>Presente en la planilla original pero no localizado en las páginas actuales relevadas</x:v>
      </x:c>
    </x:row>
    <x:row r="101">
      <x:c r="A101" s="27" t="str">
        <x:v>William Jordi Cedeño Viteri</x:v>
      </x:c>
      <x:c r="B101" s="27" t="str">
        <x:v>No encontrado en páginas actuales</x:v>
      </x:c>
      <x:c r="C101" s="27" t="str"/>
      <x:c r="D101" s="27" t="str"/>
      <x:c r="E101" s="27" t="str"/>
      <x:c r="F101" s="27" t="str"/>
      <x:c r="G101" s="27" t="str"/>
      <x:c r="H101" s="27" t="str"/>
      <x:c r="I101" s="27" t="str"/>
      <x:c r="J101" s="27" t="str">
        <x:v>CEDEÑO VITERI, WILLIAM JORDI</x:v>
      </x:c>
      <x:c r="K101" s="27" t="str">
        <x:v>Personal No CONICET</x:v>
      </x:c>
      <x:c r="L101" s="27" t="str">
        <x:v>Becario</x:v>
      </x:c>
      <x:c r="M101" s="27" t="str">
        <x:v>NO CONICET</x:v>
      </x:c>
      <x:c r="N101" s="27" t="str">
        <x:v>Becario</x:v>
      </x:c>
      <x:c r="O101" s="27" t="str">
        <x:v>Grupo de Neurociencia de Sistemas</x:v>
      </x:c>
      <x:c r="P101" s="27" t="str">
        <x:v>Neurociencias</x:v>
      </x:c>
      <x:c r="Q101" s="27" t="str"/>
      <x:c r="R101" s="27" t="str"/>
      <x:c r="S101" s="27" t="str"/>
      <x:c r="T101" s="27" t="str">
        <x:v>2026-09-10</x:v>
      </x:c>
      <x:c r="U101" s="27" t="str">
        <x:v>Presente en la planilla original pero no localizado en las páginas actuales relevadas</x:v>
      </x:c>
    </x:row>
  </x:sheetData>
  <x:mergeCells>
    <x:mergeCell ref="A1:U1"/>
    <x:mergeCell ref="A2:U2"/>
  </x:mergeCells>
  <x:conditionalFormatting sqref="B5:B101">
    <x:cfRule type="containsText" dxfId="0" priority="1" operator="containsText" text="Actual"/>
    <x:cfRule type="containsText" dxfId="1" priority="2" operator="containsText" text="Exintegrante"/>
    <x:cfRule type="containsText" dxfId="2" priority="3" operator="containsText" text="Conflicto"/>
    <x:cfRule type="containsText" dxfId="3" priority="4" operator="containsText" text="No encontrado"/>
  </x:conditionalFormatting>
  <x:pageMargins left="0.7" right="0.7" top="0.75" bottom="0.75" header="0.3" footer="0.3"/>
  <x:tableParts count="1">
    <x:tablePart xmlns:r="http://schemas.openxmlformats.org/officeDocument/2006/relationships" r:id="R4266e26a4e7b4621"/>
  </x:tableParts>
</x:worksheet>
</file>

<file path=xl/worksheets/sheet5.xml><?xml version="1.0" encoding="utf-8"?>
<x:worksheet xmlns:x="http://schemas.openxmlformats.org/spreadsheetml/2006/main">
  <x:sheetPr>
    <x:tabColor rgb="FF7F7F7F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7" hidden="0" customWidth="1"/>
    <x:col min="2" max="2" width="25" hidden="0" customWidth="1"/>
    <x:col min="3" max="3" width="25" hidden="0" customWidth="1"/>
    <x:col min="4" max="4" width="35" hidden="0" customWidth="1"/>
    <x:col min="5" max="5" width="37" hidden="0" customWidth="1"/>
    <x:col min="6" max="6" width="25" hidden="0" customWidth="1"/>
    <x:col min="7" max="7" width="35" hidden="0" customWidth="1"/>
    <x:col min="8" max="8" width="48" hidden="0" customWidth="1"/>
    <x:col min="9" max="9" width="13" hidden="0" customWidth="1"/>
    <x:col min="10" max="10" width="58" hidden="0" customWidth="1"/>
  </x:cols>
  <x:sheetData>
    <x:row r="1" ht="28" customHeight="1">
      <x:c r="A1" s="17" t="str">
        <x:v>Exintegrantes y conflictos de estado</x:v>
      </x:c>
    </x:row>
    <x:row r="3" ht="34" customHeight="1">
      <x:c r="A3" s="23" t="str">
        <x:v>Nombre</x:v>
      </x:c>
      <x:c r="B3" s="23" t="str">
        <x:v>Estado</x:v>
      </x:c>
      <x:c r="C3" s="23" t="str">
        <x:v>Categoría publicada</x:v>
      </x:c>
      <x:c r="D3" s="23" t="str">
        <x:v>Último laboratorio/grupo publicado</x:v>
      </x:c>
      <x:c r="E3" s="23" t="str">
        <x:v>Subgrupo/línea</x:v>
      </x:c>
      <x:c r="F3" s="23" t="str">
        <x:v>Responsable</x:v>
      </x:c>
      <x:c r="G3" s="23" t="str">
        <x:v>Laboratorio original</x:v>
      </x:c>
      <x:c r="H3" s="23" t="str">
        <x:v>Fuente oficial</x:v>
      </x:c>
      <x:c r="I3" s="23" t="str">
        <x:v>Verificado</x:v>
      </x:c>
      <x:c r="J3" s="23" t="str">
        <x:v>Observaciones</x:v>
      </x:c>
    </x:row>
    <x:row r="4">
      <x:c r="A4" s="27" t="str">
        <x:v>Lisandro Díaz Devicenzi</x:v>
      </x:c>
      <x:c r="B4" s="27" t="str">
        <x:v>Conflicto: actual y exintegrante</x:v>
      </x:c>
      <x:c r="C4" s="27" t="str">
        <x:v>Becario Doctoral - Foncyt</x:v>
      </x:c>
      <x:c r="D4" s="27" t="str">
        <x:v>Grupo de Neurociencia de Sistemas</x:v>
      </x:c>
      <x:c r="E4" s="27" t="str">
        <x:v>Fisiología de Circuitos Neuronales</x:v>
      </x:c>
      <x:c r="F4" s="27" t="str">
        <x:v>Gustavo Murer</x:v>
      </x:c>
      <x:c r="G4" s="27" t="str"/>
      <x:c r="H4" s="27" t="str">
        <x:v>https://ifibio-uba.conicet.gov.ar/personal-del-instituto/becarios/; https://ifibio-uba.conicet.gov.ar/personal-del-instituto/ex-integrantes/</x:v>
      </x:c>
      <x:c r="I4" s="27" t="str">
        <x:v>2026-09-10</x:v>
      </x:c>
      <x:c r="J4" s="27" t="str">
        <x:v>La misma persona figura en una página actual y en Exintegrantes; Figura en el sitio oficial actual pero no en la planilla original</x:v>
      </x:c>
    </x:row>
    <x:row r="5">
      <x:c r="A5" s="27" t="str">
        <x:v>Nicolás Cristi</x:v>
      </x:c>
      <x:c r="B5" s="27" t="str">
        <x:v>Conflicto: actual y exintegrante</x:v>
      </x:c>
      <x:c r="C5" s="27" t="str">
        <x:v>Becario de Grado - UBA</x:v>
      </x:c>
      <x:c r="D5" s="27" t="str">
        <x:v>Laboratorio de Neuropsicología de la Performance</x:v>
      </x:c>
      <x:c r="E5" s="27" t="str"/>
      <x:c r="F5" s="27" t="str">
        <x:v>Mariano Blake</x:v>
      </x:c>
      <x:c r="G5" s="27" t="str"/>
      <x:c r="H5" s="27" t="str">
        <x:v>https://ifibio-uba.conicet.gov.ar/personal-del-instituto/becarios/; https://ifibio-uba.conicet.gov.ar/personal-del-instituto/ex-integrantes/</x:v>
      </x:c>
      <x:c r="I5" s="27" t="str">
        <x:v>2026-09-10</x:v>
      </x:c>
      <x:c r="J5" s="27" t="str">
        <x:v>La misma persona figura en una página actual y en Exintegrantes; Figura en el sitio oficial actual pero no en la planilla original</x:v>
      </x:c>
    </x:row>
    <x:row r="6">
      <x:c r="A6" s="27" t="str">
        <x:v>Agostina Stahl</x:v>
      </x:c>
      <x:c r="B6" s="27" t="str">
        <x:v>Exintegrante</x:v>
      </x:c>
      <x:c r="C6" s="27" t="str">
        <x:v>Becaria Doctoral</x:v>
      </x:c>
      <x:c r="D6" s="27" t="str">
        <x:v>Grupo de Neurociencia de Sistemas</x:v>
      </x:c>
      <x:c r="E6" s="27" t="str">
        <x:v>Fisiología de Circuitos Neuronales</x:v>
      </x:c>
      <x:c r="F6" s="27" t="str">
        <x:v>Gustavo Murer</x:v>
      </x:c>
      <x:c r="G6" s="27" t="str">
        <x:v>Grupo de Neurociencia de Sistemas</x:v>
      </x:c>
      <x:c r="H6" s="27" t="str">
        <x:v>https://ifibio-uba.conicet.gov.ar/personal-del-instituto/ex-integrantes/</x:v>
      </x:c>
      <x:c r="I6" s="27" t="str">
        <x:v>2026-09-10</x:v>
      </x:c>
      <x:c r="J6" s="27" t="str"/>
    </x:row>
    <x:row r="7">
      <x:c r="A7" s="27" t="str">
        <x:v>Agustín Solano</x:v>
      </x:c>
      <x:c r="B7" s="27" t="str">
        <x:v>Exintegrante</x:v>
      </x:c>
      <x:c r="C7" s="27" t="str">
        <x:v>Becario Post-doctoral</x:v>
      </x:c>
      <x:c r="D7" s="27" t="str">
        <x:v>Grupo de Neurociencia de Sistemas</x:v>
      </x:c>
      <x:c r="E7" s="27" t="str">
        <x:v>Fisiología de la Acción</x:v>
      </x:c>
      <x:c r="F7" s="27" t="str"/>
      <x:c r="G7" s="27" t="str"/>
      <x:c r="H7" s="27" t="str">
        <x:v>https://ifibio-uba.conicet.gov.ar/personal-del-instituto/ex-integrantes/</x:v>
      </x:c>
      <x:c r="I7" s="27" t="str">
        <x:v>2026-09-10</x:v>
      </x:c>
      <x:c r="J7" s="27" t="str">
        <x:v>Figura en el sitio oficial actual pero no en la planilla original</x:v>
      </x:c>
    </x:row>
    <x:row r="8">
      <x:c r="A8" s="27" t="str">
        <x:v>Álvaro Deleglise</x:v>
      </x:c>
      <x:c r="B8" s="27" t="str">
        <x:v>Exintegrante</x:v>
      </x:c>
      <x:c r="C8" s="27" t="str">
        <x:v>Becario Doctoral</x:v>
      </x:c>
      <x:c r="D8" s="27" t="str">
        <x:v>Grupo de Neurociencia de Sistemas</x:v>
      </x:c>
      <x:c r="E8" s="27" t="str">
        <x:v>Fisiología de la Acción</x:v>
      </x:c>
      <x:c r="F8" s="27" t="str"/>
      <x:c r="G8" s="27" t="str"/>
      <x:c r="H8" s="27" t="str">
        <x:v>https://ifibio-uba.conicet.gov.ar/personal-del-instituto/ex-integrantes/</x:v>
      </x:c>
      <x:c r="I8" s="27" t="str">
        <x:v>2026-09-10</x:v>
      </x:c>
      <x:c r="J8" s="27" t="str">
        <x:v>Figura en el sitio oficial actual pero no en la planilla original</x:v>
      </x:c>
    </x:row>
    <x:row r="9">
      <x:c r="A9" s="27" t="str">
        <x:v>Camila Coll</x:v>
      </x:c>
      <x:c r="B9" s="27" t="str">
        <x:v>Exintegrante</x:v>
      </x:c>
      <x:c r="C9" s="27" t="str">
        <x:v>Becaria Doctoral</x:v>
      </x:c>
      <x:c r="D9" s="27" t="str">
        <x:v>Grupo de Neurociencia de Sistemas</x:v>
      </x:c>
      <x:c r="E9" s="27" t="str">
        <x:v>Fisiología de Circuitos Neuronales</x:v>
      </x:c>
      <x:c r="F9" s="27" t="str">
        <x:v>Gustavo Murer</x:v>
      </x:c>
      <x:c r="G9" s="27" t="str">
        <x:v>Grupo de Neurociencia de Sistemas</x:v>
      </x:c>
      <x:c r="H9" s="27" t="str">
        <x:v>https://ifibio-uba.conicet.gov.ar/personal-del-instituto/ex-integrantes/</x:v>
      </x:c>
      <x:c r="I9" s="27" t="str">
        <x:v>2026-09-10</x:v>
      </x:c>
      <x:c r="J9" s="27" t="str"/>
    </x:row>
    <x:row r="10">
      <x:c r="A10" s="27" t="str">
        <x:v>Cecilia Martinez</x:v>
      </x:c>
      <x:c r="B10" s="27" t="str">
        <x:v>Exintegrante</x:v>
      </x:c>
      <x:c r="C10" s="27" t="str">
        <x:v>Investigadora Adjunta</x:v>
      </x:c>
      <x:c r="D10" s="27" t="str">
        <x:v>Grupo de Neurociencia de Sistemas</x:v>
      </x:c>
      <x:c r="E10" s="27" t="str"/>
      <x:c r="F10" s="27" t="str"/>
      <x:c r="G10" s="27" t="str"/>
      <x:c r="H10" s="27" t="str">
        <x:v>https://ifibio-uba.conicet.gov.ar/personal-del-instituto/ex-integrantes/</x:v>
      </x:c>
      <x:c r="I10" s="27" t="str">
        <x:v>2026-09-10</x:v>
      </x:c>
      <x:c r="J10" s="27" t="str">
        <x:v>Figura en el sitio oficial actual pero no en la planilla original</x:v>
      </x:c>
    </x:row>
    <x:row r="11">
      <x:c r="A11" s="27" t="str">
        <x:v>Constanza Ilarraz</x:v>
      </x:c>
      <x:c r="B11" s="27" t="str">
        <x:v>Exintegrante</x:v>
      </x:c>
      <x:c r="C11" s="27" t="str">
        <x:v>Becaria Doctoral</x:v>
      </x:c>
      <x:c r="D11" s="27" t="str">
        <x:v>Grupo de Neurociencia de Sistemas</x:v>
      </x:c>
      <x:c r="E11" s="27" t="str">
        <x:v>Fisiología del Dolor</x:v>
      </x:c>
      <x:c r="F11" s="27" t="str">
        <x:v>Fernando Kasanetz</x:v>
      </x:c>
      <x:c r="G11" s="27" t="str">
        <x:v>Grupo de Neurociencia de Sistemas</x:v>
      </x:c>
      <x:c r="H11" s="27" t="str">
        <x:v>https://ifibio-uba.conicet.gov.ar/personal-del-instituto/ex-integrantes/</x:v>
      </x:c>
      <x:c r="I11" s="27" t="str">
        <x:v>2026-09-10</x:v>
      </x:c>
      <x:c r="J11" s="27" t="str"/>
    </x:row>
    <x:row r="12">
      <x:c r="A12" s="27" t="str">
        <x:v>Daiana Sanchez</x:v>
      </x:c>
      <x:c r="B12" s="27" t="str">
        <x:v>Exintegrante</x:v>
      </x:c>
      <x:c r="C12" s="27" t="str">
        <x:v>Becaria Doctoral</x:v>
      </x:c>
      <x:c r="D12" s="27" t="str">
        <x:v>Laboratorio de Fisiología Renal</x:v>
      </x:c>
      <x:c r="E12" s="27" t="str"/>
      <x:c r="F12" s="27" t="str">
        <x:v>Claudia Silberstein</x:v>
      </x:c>
      <x:c r="G12" s="27" t="str"/>
      <x:c r="H12" s="27" t="str">
        <x:v>https://ifibio-uba.conicet.gov.ar/personal-del-instituto/ex-integrantes/</x:v>
      </x:c>
      <x:c r="I12" s="27" t="str">
        <x:v>2026-09-10</x:v>
      </x:c>
      <x:c r="J12" s="27" t="str">
        <x:v>Figura en el sitio oficial actual pero no en la planilla original</x:v>
      </x:c>
    </x:row>
    <x:row r="13">
      <x:c r="A13" s="27" t="str">
        <x:v>Félix Fares Taie</x:v>
      </x:c>
      <x:c r="B13" s="27" t="str">
        <x:v>Exintegrante</x:v>
      </x:c>
      <x:c r="C13" s="27" t="str">
        <x:v>Becario Doctoral</x:v>
      </x:c>
      <x:c r="D13" s="27" t="str">
        <x:v>Grupo de Neurociencia de Sistemas</x:v>
      </x:c>
      <x:c r="E13" s="27" t="str">
        <x:v>Formación de Redes Neurales</x:v>
      </x:c>
      <x:c r="F13" s="27" t="str">
        <x:v>Lorena Rela</x:v>
      </x:c>
      <x:c r="G13" s="27" t="str">
        <x:v>Grupo de Neurociencia de Sistemas</x:v>
      </x:c>
      <x:c r="H13" s="27" t="str">
        <x:v>https://ifibio-uba.conicet.gov.ar/personal-del-instituto/ex-integrantes/</x:v>
      </x:c>
      <x:c r="I13" s="27" t="str">
        <x:v>2026-09-10</x:v>
      </x:c>
      <x:c r="J13" s="27" t="str"/>
    </x:row>
    <x:row r="14">
      <x:c r="A14" s="27" t="str">
        <x:v>Gabriela Nieva</x:v>
      </x:c>
      <x:c r="B14" s="27" t="str">
        <x:v>Exintegrante</x:v>
      </x:c>
      <x:c r="C14" s="27" t="str">
        <x:v>Becaria Doctoral</x:v>
      </x:c>
      <x:c r="D14" s="27" t="str">
        <x:v>Grupo de Neurociencia de Sistemas</x:v>
      </x:c>
      <x:c r="E14" s="27" t="str">
        <x:v>Fisiopatología Neuronal</x:v>
      </x:c>
      <x:c r="F14" s="27" t="str">
        <x:v>Lionel Muller Igaz</x:v>
      </x:c>
      <x:c r="G14" s="27" t="str"/>
      <x:c r="H14" s="27" t="str">
        <x:v>https://ifibio-uba.conicet.gov.ar/personal-del-instituto/ex-integrantes/</x:v>
      </x:c>
      <x:c r="I14" s="27" t="str">
        <x:v>2026-09-10</x:v>
      </x:c>
      <x:c r="J14" s="27" t="str">
        <x:v>Figura en el sitio oficial actual pero no en la planilla original</x:v>
      </x:c>
    </x:row>
    <x:row r="15">
      <x:c r="A15" s="27" t="str">
        <x:v>Guillermina Griffa</x:v>
      </x:c>
      <x:c r="B15" s="27" t="str">
        <x:v>Exintegrante</x:v>
      </x:c>
      <x:c r="C15" s="27" t="str">
        <x:v>Becaria Doctoral</x:v>
      </x:c>
      <x:c r="D15" s="27" t="str">
        <x:v>Grupo de Neurociencia de Sistemas</x:v>
      </x:c>
      <x:c r="E15" s="27" t="str">
        <x:v>Fisiología de la Acción</x:v>
      </x:c>
      <x:c r="F15" s="27" t="str"/>
      <x:c r="G15" s="27" t="str"/>
      <x:c r="H15" s="27" t="str">
        <x:v>https://ifibio-uba.conicet.gov.ar/personal-del-instituto/ex-integrantes/</x:v>
      </x:c>
      <x:c r="I15" s="27" t="str">
        <x:v>2026-09-10</x:v>
      </x:c>
      <x:c r="J15" s="27" t="str">
        <x:v>Figura en el sitio oficial actual pero no en la planilla original</x:v>
      </x:c>
    </x:row>
    <x:row r="16">
      <x:c r="A16" s="27" t="str">
        <x:v>Javier González Sanabria</x:v>
      </x:c>
      <x:c r="B16" s="27" t="str">
        <x:v>Exintegrante</x:v>
      </x:c>
      <x:c r="C16" s="27" t="str">
        <x:v>Becario Doctoral</x:v>
      </x:c>
      <x:c r="D16" s="27" t="str">
        <x:v>Grupo de Neurociencia de Sistemas</x:v>
      </x:c>
      <x:c r="E16" s="27" t="str">
        <x:v>Fisiología de la Conducta Animal</x:v>
      </x:c>
      <x:c r="F16" s="27" t="str">
        <x:v>Juan Belforte</x:v>
      </x:c>
      <x:c r="G16" s="27" t="str">
        <x:v>Grupo de Neurociencia de Sistemas</x:v>
      </x:c>
      <x:c r="H16" s="27" t="str">
        <x:v>https://ifibio-uba.conicet.gov.ar/personal-del-instituto/ex-integrantes/</x:v>
      </x:c>
      <x:c r="I16" s="27" t="str">
        <x:v>2026-09-10</x:v>
      </x:c>
      <x:c r="J16" s="27" t="str"/>
    </x:row>
    <x:row r="17">
      <x:c r="A17" s="27" t="str">
        <x:v>Joaquín Ortiz</x:v>
      </x:c>
      <x:c r="B17" s="27" t="str">
        <x:v>Exintegrante</x:v>
      </x:c>
      <x:c r="C17" s="27" t="str">
        <x:v>Becario Doctoral</x:v>
      </x:c>
      <x:c r="D17" s="27" t="str">
        <x:v>Grupo de Pez Cebra</x:v>
      </x:c>
      <x:c r="E17" s="27" t="str">
        <x:v>Fisiopatología del SUH</x:v>
      </x:c>
      <x:c r="F17" s="27" t="str"/>
      <x:c r="G17" s="27" t="str">
        <x:v>Laboratorio de Fisiopatogenia</x:v>
      </x:c>
      <x:c r="H17" s="27" t="str">
        <x:v>https://ifibio-uba.conicet.gov.ar/personal-del-instituto/ex-integrantes/</x:v>
      </x:c>
      <x:c r="I17" s="27" t="str">
        <x:v>2026-09-10</x:v>
      </x:c>
      <x:c r="J17" s="27" t="str">
        <x:v>Laboratorio/grupo actual no coincide con la planilla original</x:v>
      </x:c>
    </x:row>
    <x:row r="18">
      <x:c r="A18" s="27" t="str">
        <x:v>Juan Martín Uehara</x:v>
      </x:c>
      <x:c r="B18" s="27" t="str">
        <x:v>Exintegrante</x:v>
      </x:c>
      <x:c r="C18" s="27" t="str">
        <x:v>Becario Doctoral</x:v>
      </x:c>
      <x:c r="D18" s="27" t="str">
        <x:v>Grupo de Neurociencia de Sistemas</x:v>
      </x:c>
      <x:c r="E18" s="27" t="str">
        <x:v>Fisiología de la Conducta Animal</x:v>
      </x:c>
      <x:c r="F18" s="27" t="str">
        <x:v>Juan Belforte</x:v>
      </x:c>
      <x:c r="G18" s="27" t="str">
        <x:v>Grupo de Neurociencia de Sistemas</x:v>
      </x:c>
      <x:c r="H18" s="27" t="str">
        <x:v>https://ifibio-uba.conicet.gov.ar/personal-del-instituto/ex-integrantes/</x:v>
      </x:c>
      <x:c r="I18" s="27" t="str">
        <x:v>2026-09-10</x:v>
      </x:c>
      <x:c r="J18" s="27" t="str"/>
    </x:row>
    <x:row r="19">
      <x:c r="A19" s="27" t="str">
        <x:v>Julieta Reppetti</x:v>
      </x:c>
      <x:c r="B19" s="27" t="str">
        <x:v>Exintegrante</x:v>
      </x:c>
      <x:c r="C19" s="27" t="str">
        <x:v>Becaria Doctoral</x:v>
      </x:c>
      <x:c r="D19" s="27" t="str">
        <x:v>Laboratorio de Biología de la Reproducción</x:v>
      </x:c>
      <x:c r="E19" s="27" t="str"/>
      <x:c r="F19" s="27" t="str">
        <x:v>Alicia Damiano</x:v>
      </x:c>
      <x:c r="G19" s="27" t="str"/>
      <x:c r="H19" s="27" t="str">
        <x:v>https://ifibio-uba.conicet.gov.ar/personal-del-instituto/ex-integrantes/</x:v>
      </x:c>
      <x:c r="I19" s="27" t="str">
        <x:v>2026-09-10</x:v>
      </x:c>
      <x:c r="J19" s="27" t="str">
        <x:v>Figura en el sitio oficial actual pero no en la planilla original</x:v>
      </x:c>
    </x:row>
    <x:row r="20">
      <x:c r="A20" s="27" t="str">
        <x:v>Lilian Fischer Sigel</x:v>
      </x:c>
      <x:c r="B20" s="27" t="str">
        <x:v>Exintegrante</x:v>
      </x:c>
      <x:c r="C20" s="27" t="str">
        <x:v>Becaria Doctoral</x:v>
      </x:c>
      <x:c r="D20" s="27" t="str">
        <x:v>Laboratorio de Fisiología Renal</x:v>
      </x:c>
      <x:c r="E20" s="27" t="str">
        <x:v>Biofísica de Aquaporinas</x:v>
      </x:c>
      <x:c r="F20" s="27" t="str">
        <x:v>Claudia Silberstein</x:v>
      </x:c>
      <x:c r="G20" s="27" t="str">
        <x:v>Laboratorio de Biomembranas</x:v>
      </x:c>
      <x:c r="H20" s="27" t="str">
        <x:v>https://ifibio-uba.conicet.gov.ar/personal-del-instituto/ex-integrantes/</x:v>
      </x:c>
      <x:c r="I20" s="27" t="str">
        <x:v>2026-09-10</x:v>
      </x:c>
      <x:c r="J20" s="27" t="str">
        <x:v>Laboratorio/grupo actual no coincide con la planilla original</x:v>
      </x:c>
    </x:row>
    <x:row r="21">
      <x:c r="A21" s="27" t="str">
        <x:v>Luis Riquelme</x:v>
      </x:c>
      <x:c r="B21" s="27" t="str">
        <x:v>Exintegrante</x:v>
      </x:c>
      <x:c r="C21" s="27" t="str">
        <x:v>Investigador UBA</x:v>
      </x:c>
      <x:c r="D21" s="27" t="str">
        <x:v>Grupo de Neurociencia de Sistemas</x:v>
      </x:c>
      <x:c r="E21" s="27" t="str"/>
      <x:c r="F21" s="27" t="str"/>
      <x:c r="G21" s="27" t="str"/>
      <x:c r="H21" s="27" t="str">
        <x:v>https://ifibio-uba.conicet.gov.ar/personal-del-instituto/ex-integrantes/</x:v>
      </x:c>
      <x:c r="I21" s="27" t="str">
        <x:v>2026-09-10</x:v>
      </x:c>
      <x:c r="J21" s="27" t="str">
        <x:v>Figura en el sitio oficial actual pero no en la planilla original</x:v>
      </x:c>
    </x:row>
    <x:row r="22">
      <x:c r="A22" s="27" t="str">
        <x:v>Marcos Coletti</x:v>
      </x:c>
      <x:c r="B22" s="27" t="str">
        <x:v>Exintegrante</x:v>
      </x:c>
      <x:c r="C22" s="27" t="str">
        <x:v>Becario Doctoral</x:v>
      </x:c>
      <x:c r="D22" s="27" t="str">
        <x:v>Grupo de Neurociencia de Sistemas</x:v>
      </x:c>
      <x:c r="E22" s="27" t="str">
        <x:v>Fisiología de Circuitos Neuronales</x:v>
      </x:c>
      <x:c r="F22" s="27" t="str">
        <x:v>Gustavo Murer</x:v>
      </x:c>
      <x:c r="G22" s="27" t="str"/>
      <x:c r="H22" s="27" t="str">
        <x:v>https://ifibio-uba.conicet.gov.ar/personal-del-instituto/ex-integrantes/</x:v>
      </x:c>
      <x:c r="I22" s="27" t="str">
        <x:v>2026-09-10</x:v>
      </x:c>
      <x:c r="J22" s="27" t="str">
        <x:v>Figura en el sitio oficial actual pero no en la planilla original</x:v>
      </x:c>
    </x:row>
    <x:row r="23">
      <x:c r="A23" s="27" t="str">
        <x:v>María Florencia Santos</x:v>
      </x:c>
      <x:c r="B23" s="27" t="str">
        <x:v>Exintegrante</x:v>
      </x:c>
      <x:c r="C23" s="27" t="str">
        <x:v>Becaria Doctoral</x:v>
      </x:c>
      <x:c r="D23" s="27" t="str">
        <x:v>Grupo de Neurociencia de Sistemas</x:v>
      </x:c>
      <x:c r="E23" s="27" t="str">
        <x:v>Neurofisiología del Aprendizaje</x:v>
      </x:c>
      <x:c r="F23" s="27" t="str">
        <x:v>Camila Zold</x:v>
      </x:c>
      <x:c r="G23" s="27" t="str">
        <x:v>Grupo de Neurociencia de Sistemas</x:v>
      </x:c>
      <x:c r="H23" s="27" t="str">
        <x:v>https://ifibio-uba.conicet.gov.ar/personal-del-instituto/ex-integrantes/</x:v>
      </x:c>
      <x:c r="I23" s="27" t="str">
        <x:v>2026-09-10</x:v>
      </x:c>
      <x:c r="J23" s="27" t="str"/>
    </x:row>
    <x:row r="24">
      <x:c r="A24" s="27" t="str">
        <x:v>Mariano Belluscio</x:v>
      </x:c>
      <x:c r="B24" s="27" t="str">
        <x:v>Exintegrante</x:v>
      </x:c>
      <x:c r="C24" s="27" t="str">
        <x:v>Investigador Independiente</x:v>
      </x:c>
      <x:c r="D24" s="27" t="str">
        <x:v>Grupo de Neurociencia de Sistemas</x:v>
      </x:c>
      <x:c r="E24" s="27" t="str">
        <x:v>Bases Neuronales del Comportamiento</x:v>
      </x:c>
      <x:c r="F24" s="27" t="str"/>
      <x:c r="G24" s="27" t="str">
        <x:v>Grupo de Neurociencia de Sistemas</x:v>
      </x:c>
      <x:c r="H24" s="27" t="str">
        <x:v>https://ifibio-uba.conicet.gov.ar/personal-del-instituto/ex-integrantes/</x:v>
      </x:c>
      <x:c r="I24" s="27" t="str">
        <x:v>2026-09-10</x:v>
      </x:c>
      <x:c r="J24" s="27" t="str">
        <x:v>Categoría posiblemente actualizada: planilla=ADJUNTO; web=INDEPENDIENTE</x:v>
      </x:c>
    </x:row>
    <x:row r="25">
      <x:c r="A25" s="27" t="str">
        <x:v>Natalia Szpilbarg</x:v>
      </x:c>
      <x:c r="B25" s="27" t="str">
        <x:v>Exintegrante</x:v>
      </x:c>
      <x:c r="C25" s="27" t="str">
        <x:v>Investigadora Asistente</x:v>
      </x:c>
      <x:c r="D25" s="27" t="str">
        <x:v>Laboratorio de Biología de la Reproducción</x:v>
      </x:c>
      <x:c r="E25" s="27" t="str">
        <x:v>Síndrome Urémico Hemolítico</x:v>
      </x:c>
      <x:c r="F25" s="27" t="str">
        <x:v>Alicia Damiano</x:v>
      </x:c>
      <x:c r="G25" s="27" t="str">
        <x:v>Laboratorio de Fisiopatogenia</x:v>
      </x:c>
      <x:c r="H25" s="27" t="str">
        <x:v>https://ifibio-uba.conicet.gov.ar/personal-del-instituto/ex-integrantes/</x:v>
      </x:c>
      <x:c r="I25" s="27" t="str">
        <x:v>2026-09-10</x:v>
      </x:c>
      <x:c r="J25" s="27" t="str">
        <x:v>Laboratorio/grupo actual no coincide con la planilla original</x:v>
      </x:c>
    </x:row>
    <x:row r="26">
      <x:c r="A26" s="27" t="str">
        <x:v>Nicolás Cutrera</x:v>
      </x:c>
      <x:c r="B26" s="27" t="str">
        <x:v>Exintegrante</x:v>
      </x:c>
      <x:c r="C26" s="27" t="str">
        <x:v>Becario Doctoral</x:v>
      </x:c>
      <x:c r="D26" s="27" t="str">
        <x:v>Laboratorio de Biomembranas</x:v>
      </x:c>
      <x:c r="E26" s="27" t="str">
        <x:v>Fisiología y Fisiopatología de las Acuaporinas</x:v>
      </x:c>
      <x:c r="F26" s="27" t="str">
        <x:v>Claudia Capurro</x:v>
      </x:c>
      <x:c r="G26" s="27" t="str">
        <x:v>Laboratorio de Biomembranas</x:v>
      </x:c>
      <x:c r="H26" s="27" t="str">
        <x:v>https://ifibio-uba.conicet.gov.ar/personal-del-instituto/ex-integrantes/</x:v>
      </x:c>
      <x:c r="I26" s="27" t="str">
        <x:v>2026-09-10</x:v>
      </x:c>
      <x:c r="J26" s="27" t="str"/>
    </x:row>
    <x:row r="27">
      <x:c r="A27" s="27" t="str">
        <x:v>Paula Ford</x:v>
      </x:c>
      <x:c r="B27" s="27" t="str">
        <x:v>Exintegrante</x:v>
      </x:c>
      <x:c r="C27" s="27" t="str">
        <x:v>Investigadora Independiente</x:v>
      </x:c>
      <x:c r="D27" s="27" t="str">
        <x:v>Laboratorio de Biomembranas</x:v>
      </x:c>
      <x:c r="E27" s="27" t="str">
        <x:v>Biofísica de Aquaporinas</x:v>
      </x:c>
      <x:c r="F27" s="27" t="str">
        <x:v>Claudia Capurro</x:v>
      </x:c>
      <x:c r="G27" s="27" t="str">
        <x:v>Laboratorio de Biomembranas</x:v>
      </x:c>
      <x:c r="H27" s="27" t="str">
        <x:v>https://ifibio-uba.conicet.gov.ar/personal-del-instituto/ex-integrantes/</x:v>
      </x:c>
      <x:c r="I27" s="27" t="str">
        <x:v>2026-09-10</x:v>
      </x:c>
      <x:c r="J27" s="27" t="str"/>
    </x:row>
    <x:row r="28">
      <x:c r="A28" s="27" t="str">
        <x:v>Santiago Merlo</x:v>
      </x:c>
      <x:c r="B28" s="27" t="str">
        <x:v>Exintegrante</x:v>
      </x:c>
      <x:c r="C28" s="27" t="str">
        <x:v>Becario Doctoral</x:v>
      </x:c>
      <x:c r="D28" s="27" t="str">
        <x:v>Grupo de Neurociencia de Sistemas</x:v>
      </x:c>
      <x:c r="E28" s="27" t="str">
        <x:v>Bases Neuronales del Comportamiento</x:v>
      </x:c>
      <x:c r="F28" s="27" t="str"/>
      <x:c r="G28" s="27" t="str"/>
      <x:c r="H28" s="27" t="str">
        <x:v>https://ifibio-uba.conicet.gov.ar/personal-del-instituto/ex-integrantes/</x:v>
      </x:c>
      <x:c r="I28" s="27" t="str">
        <x:v>2026-09-10</x:v>
      </x:c>
      <x:c r="J28" s="27" t="str">
        <x:v>Figura en el sitio oficial actual pero no en la planilla original</x:v>
      </x:c>
    </x:row>
    <x:row r="29">
      <x:c r="A29" s="27" t="str">
        <x:v>Valeria Della Maggiore</x:v>
      </x:c>
      <x:c r="B29" s="27" t="str">
        <x:v>Exintegrante</x:v>
      </x:c>
      <x:c r="C29" s="27" t="str">
        <x:v>Investigadora Principal</x:v>
      </x:c>
      <x:c r="D29" s="27" t="str">
        <x:v>Grupo de Neurociencia de Sistemas</x:v>
      </x:c>
      <x:c r="E29" s="27" t="str">
        <x:v>Fisiología de la Acción</x:v>
      </x:c>
      <x:c r="F29" s="27" t="str"/>
      <x:c r="G29" s="27" t="str">
        <x:v>Grupo de Neurociencia de Sistemas</x:v>
      </x:c>
      <x:c r="H29" s="27" t="str">
        <x:v>https://ifibio-uba.conicet.gov.ar/personal-del-instituto/ex-integrantes/</x:v>
      </x:c>
      <x:c r="I29" s="27" t="str">
        <x:v>2026-09-10</x:v>
      </x:c>
      <x:c r="J29" s="27" t="str"/>
    </x:row>
    <x:row r="30">
      <x:c r="A30" s="27" t="str">
        <x:v>Viviana Bumaschny</x:v>
      </x:c>
      <x:c r="B30" s="27" t="str">
        <x:v>Exintegrante</x:v>
      </x:c>
      <x:c r="C30" s="27" t="str">
        <x:v>Investigadora Adjunta</x:v>
      </x:c>
      <x:c r="D30" s="27" t="str">
        <x:v>Grupo de Neurociencia de Sistemas</x:v>
      </x:c>
      <x:c r="E30" s="27" t="str">
        <x:v>Neuroendocrinología Molecular</x:v>
      </x:c>
      <x:c r="F30" s="27" t="str"/>
      <x:c r="G30" s="27" t="str">
        <x:v>Grupo de Neurociencia de Sistemas</x:v>
      </x:c>
      <x:c r="H30" s="27" t="str">
        <x:v>https://ifibio-uba.conicet.gov.ar/personal-del-instituto/ex-integrantes/</x:v>
      </x:c>
      <x:c r="I30" s="27" t="str">
        <x:v>2026-09-10</x:v>
      </x:c>
      <x:c r="J30" s="27" t="str"/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1097baf23e3147b6"/>
  </x:tableParts>
</x:worksheet>
</file>

<file path=xl/worksheets/sheet6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62" hidden="0" customWidth="1"/>
    <x:col min="3" max="3" width="25" hidden="0" customWidth="1"/>
    <x:col min="4" max="4" width="35" hidden="0" customWidth="1"/>
    <x:col min="5" max="5" width="35" hidden="0" customWidth="1"/>
    <x:col min="6" max="6" width="50" hidden="0" customWidth="1"/>
    <x:col min="7" max="7" width="32" hidden="0" customWidth="1"/>
  </x:cols>
  <x:sheetData>
    <x:row r="1" ht="28" customHeight="1">
      <x:c r="A1" s="17" t="str">
        <x:v>Discrepancias y revisiones pendientes</x:v>
      </x:c>
    </x:row>
    <x:row r="2">
      <x:c r="A2" s="18" t="str">
        <x:v>Cada fila representa un problema independiente. No implica necesariamente un error: algunas diferencias pueden corresponder a promociones o actualizaciones recientes.</x:v>
      </x:c>
    </x:row>
    <x:row r="4" ht="34" customHeight="1">
      <x:c r="A4" s="23" t="str">
        <x:v>Nombre</x:v>
      </x:c>
      <x:c r="B4" s="23" t="str">
        <x:v>Hallazgo</x:v>
      </x:c>
      <x:c r="C4" s="23" t="str">
        <x:v>Estado</x:v>
      </x:c>
      <x:c r="D4" s="23" t="str">
        <x:v>Laboratorio original</x:v>
      </x:c>
      <x:c r="E4" s="23" t="str">
        <x:v>Laboratorio/grupo web</x:v>
      </x:c>
      <x:c r="F4" s="23" t="str">
        <x:v>Fuente</x:v>
      </x:c>
      <x:c r="G4" s="23" t="str">
        <x:v>Acción sugerida</x:v>
      </x:c>
    </x:row>
    <x:row r="5">
      <x:c r="A5" s="27" t="str">
        <x:v>Agustín Solano</x:v>
      </x:c>
      <x:c r="B5" s="27" t="str">
        <x:v>Figura en el sitio oficial actual pero no en la planilla original</x:v>
      </x:c>
      <x:c r="C5" s="27" t="str">
        <x:v>Exintegrante</x:v>
      </x:c>
      <x:c r="D5" s="27" t="str"/>
      <x:c r="E5" s="27" t="str">
        <x:v>Grupo de Neurociencia de Sistemas</x:v>
      </x:c>
      <x:c r="F5" s="27" t="str">
        <x:v>https://ifibio-uba.conicet.gov.ar/personal-del-instituto/ex-integrantes/</x:v>
      </x:c>
      <x:c r="G5" s="27" t="str">
        <x:v>Agregar/validar alta</x:v>
      </x:c>
    </x:row>
    <x:row r="6">
      <x:c r="A6" s="27" t="str">
        <x:v>Alba Richaudeau</x:v>
      </x:c>
      <x:c r="B6" s="27" t="str">
        <x:v>Laboratorio/grupo actual no coincide con la planilla original</x:v>
      </x:c>
      <x:c r="C6" s="27" t="str">
        <x:v>Actual</x:v>
      </x:c>
      <x:c r="D6" s="27" t="str">
        <x:v>Grupo de Neuropsicología del Neurodesarrollo</x:v>
      </x:c>
      <x:c r="E6" s="27" t="str">
        <x:v>Grupo de Neurociencia de Sistemas</x:v>
      </x:c>
      <x:c r="F6" s="27" t="str">
        <x:v>https://ifibio-uba.conicet.gov.ar/personal-del-instituto/investigadores/</x:v>
      </x:c>
      <x:c r="G6" s="27" t="str">
        <x:v>Verificar pertenencia con el responsable</x:v>
      </x:c>
    </x:row>
    <x:row r="7">
      <x:c r="A7" s="27" t="str">
        <x:v>Alipio Pinto</x:v>
      </x:c>
      <x:c r="B7" s="27" t="str">
        <x:v>Figura en el sitio oficial actual pero no en la planilla original</x:v>
      </x:c>
      <x:c r="C7" s="27" t="str">
        <x:v>Actual</x:v>
      </x:c>
      <x:c r="D7" s="27" t="str"/>
      <x:c r="E7" s="27" t="str">
        <x:v>Laboratorio de Neurofisiopatología</x:v>
      </x:c>
      <x:c r="F7" s="27" t="str">
        <x:v>https://ifibio-uba.conicet.gov.ar/personal-del-instituto/investigadores/</x:v>
      </x:c>
      <x:c r="G7" s="27" t="str">
        <x:v>Agregar/validar alta</x:v>
      </x:c>
    </x:row>
    <x:row r="8">
      <x:c r="A8" s="27" t="str">
        <x:v>Álvaro Deleglise</x:v>
      </x:c>
      <x:c r="B8" s="27" t="str">
        <x:v>Figura en el sitio oficial actual pero no en la planilla original</x:v>
      </x:c>
      <x:c r="C8" s="27" t="str">
        <x:v>Exintegrante</x:v>
      </x:c>
      <x:c r="D8" s="27" t="str"/>
      <x:c r="E8" s="27" t="str">
        <x:v>Grupo de Neurociencia de Sistemas</x:v>
      </x:c>
      <x:c r="F8" s="27" t="str">
        <x:v>https://ifibio-uba.conicet.gov.ar/personal-del-instituto/ex-integrantes/</x:v>
      </x:c>
      <x:c r="G8" s="27" t="str">
        <x:v>Agregar/validar alta</x:v>
      </x:c>
    </x:row>
    <x:row r="9">
      <x:c r="A9" s="27" t="str">
        <x:v>Ana Elizabeth Mamani</x:v>
      </x:c>
      <x:c r="B9" s="27" t="str">
        <x:v>Presente en la planilla original pero no localizado en las páginas actuales relevadas</x:v>
      </x:c>
      <x:c r="C9" s="27" t="str">
        <x:v>No encontrado en páginas actuales</x:v>
      </x:c>
      <x:c r="D9" s="27" t="str">
        <x:v>Gestión y Administración</x:v>
      </x:c>
      <x:c r="E9" s="27" t="str"/>
      <x:c r="F9" s="27" t="str"/>
      <x:c r="G9" s="27" t="str">
        <x:v>Confirmar continuidad o baja</x:v>
      </x:c>
    </x:row>
    <x:row r="10">
      <x:c r="A10" s="27" t="str">
        <x:v>Camila María Polotto</x:v>
      </x:c>
      <x:c r="B10" s="27" t="str">
        <x:v>Presente en la planilla original pero no localizado en las páginas actuales relevadas</x:v>
      </x:c>
      <x:c r="C10" s="27" t="str">
        <x:v>No encontrado en páginas actuales</x:v>
      </x:c>
      <x:c r="D10" s="27" t="str">
        <x:v>Grupo de Neurociencia de Sistemas</x:v>
      </x:c>
      <x:c r="E10" s="27" t="str"/>
      <x:c r="F10" s="27" t="str"/>
      <x:c r="G10" s="27" t="str">
        <x:v>Confirmar continuidad o baja</x:v>
      </x:c>
    </x:row>
    <x:row r="11">
      <x:c r="A11" s="27" t="str">
        <x:v>Camila Zold</x:v>
      </x:c>
      <x:c r="B11" s="27" t="str">
        <x:v>Categoría posiblemente actualizada: planilla=ADJUNTO; web=ASISTENTE</x:v>
      </x:c>
      <x:c r="C11" s="27" t="str">
        <x:v>Actual</x:v>
      </x:c>
      <x:c r="D11" s="27" t="str">
        <x:v>Grupo de Neurociencia de Sistemas</x:v>
      </x:c>
      <x:c r="E11" s="27" t="str">
        <x:v>Grupo de Neurociencia de Sistemas</x:v>
      </x:c>
      <x:c r="F11" s="27" t="str">
        <x:v>https://ifibio-uba.conicet.gov.ar/personal-del-instituto/investigadores/</x:v>
      </x:c>
      <x:c r="G11" s="27" t="str">
        <x:v>Confirmar categoría vigente</x:v>
      </x:c>
    </x:row>
    <x:row r="12">
      <x:c r="A12" s="27" t="str">
        <x:v>Candela Fagnani</x:v>
      </x:c>
      <x:c r="B12" s="27" t="str">
        <x:v>Figura en el sitio oficial actual pero no en la planilla original</x:v>
      </x:c>
      <x:c r="C12" s="27" t="str">
        <x:v>Actual</x:v>
      </x:c>
      <x:c r="D12" s="27" t="str"/>
      <x:c r="E12" s="27" t="str">
        <x:v>Grupo de Neurociencia de Sistemas</x:v>
      </x:c>
      <x:c r="F12" s="27" t="str">
        <x:v>https://ifibio-uba.conicet.gov.ar/personal-del-instituto/becarios/</x:v>
      </x:c>
      <x:c r="G12" s="27" t="str">
        <x:v>Agregar/validar alta</x:v>
      </x:c>
    </x:row>
    <x:row r="13">
      <x:c r="A13" s="27" t="str">
        <x:v>Cecilia Martinez</x:v>
      </x:c>
      <x:c r="B13" s="27" t="str">
        <x:v>Figura en el sitio oficial actual pero no en la planilla original</x:v>
      </x:c>
      <x:c r="C13" s="27" t="str">
        <x:v>Exintegrante</x:v>
      </x:c>
      <x:c r="D13" s="27" t="str"/>
      <x:c r="E13" s="27" t="str">
        <x:v>Grupo de Neurociencia de Sistemas</x:v>
      </x:c>
      <x:c r="F13" s="27" t="str">
        <x:v>https://ifibio-uba.conicet.gov.ar/personal-del-instituto/ex-integrantes/</x:v>
      </x:c>
      <x:c r="G13" s="27" t="str">
        <x:v>Agregar/validar alta</x:v>
      </x:c>
    </x:row>
    <x:row r="14">
      <x:c r="A14" s="27" t="str">
        <x:v>Daiana Sanchez</x:v>
      </x:c>
      <x:c r="B14" s="27" t="str">
        <x:v>Figura en el sitio oficial actual pero no en la planilla original</x:v>
      </x:c>
      <x:c r="C14" s="27" t="str">
        <x:v>Exintegrante</x:v>
      </x:c>
      <x:c r="D14" s="27" t="str"/>
      <x:c r="E14" s="27" t="str">
        <x:v>Laboratorio de Fisiología Renal</x:v>
      </x:c>
      <x:c r="F14" s="27" t="str">
        <x:v>https://ifibio-uba.conicet.gov.ar/personal-del-instituto/ex-integrantes/</x:v>
      </x:c>
      <x:c r="G14" s="27" t="str">
        <x:v>Agregar/validar alta</x:v>
      </x:c>
    </x:row>
    <x:row r="15">
      <x:c r="A15" s="27" t="str">
        <x:v>Estefanía Bello</x:v>
      </x:c>
      <x:c r="B15" s="27" t="str">
        <x:v>Categoría posiblemente actualizada: planilla=ADJUNTO; web=ASISTENTE</x:v>
      </x:c>
      <x:c r="C15" s="27" t="str">
        <x:v>Actual</x:v>
      </x:c>
      <x:c r="D15" s="27" t="str">
        <x:v>Grupo de Neurociencia de Sistemas</x:v>
      </x:c>
      <x:c r="E15" s="27" t="str">
        <x:v>Grupo de Neurociencia de Sistemas</x:v>
      </x:c>
      <x:c r="F15" s="27" t="str">
        <x:v>https://ifibio-uba.conicet.gov.ar/personal-del-instituto/investigadores/</x:v>
      </x:c>
      <x:c r="G15" s="27" t="str">
        <x:v>Confirmar categoría vigente</x:v>
      </x:c>
    </x:row>
    <x:row r="16">
      <x:c r="A16" s="27" t="str">
        <x:v>Fernando Ibarra</x:v>
      </x:c>
      <x:c r="B16" s="27" t="str">
        <x:v>Figura en el sitio oficial actual pero no en la planilla original</x:v>
      </x:c>
      <x:c r="C16" s="27" t="str">
        <x:v>Actual</x:v>
      </x:c>
      <x:c r="D16" s="27" t="str"/>
      <x:c r="E16" s="27" t="str">
        <x:v>Laboratorio de Fisiología Renal</x:v>
      </x:c>
      <x:c r="F16" s="27" t="str">
        <x:v>https://ifibio-uba.conicet.gov.ar/personal-del-instituto/investigadores/</x:v>
      </x:c>
      <x:c r="G16" s="27" t="str">
        <x:v>Agregar/validar alta</x:v>
      </x:c>
    </x:row>
    <x:row r="17">
      <x:c r="A17" s="27" t="str">
        <x:v>Fernando Kasanetz</x:v>
      </x:c>
      <x:c r="B17" s="27" t="str">
        <x:v>Duplicado en la planilla original (2 filas)</x:v>
      </x:c>
      <x:c r="C17" s="27" t="str">
        <x:v>Actual</x:v>
      </x:c>
      <x:c r="D17" s="27" t="str">
        <x:v>Grupo de Neurociencia de Sistemas</x:v>
      </x:c>
      <x:c r="E17" s="27" t="str">
        <x:v>Grupo de Neurociencia de Sistemas</x:v>
      </x:c>
      <x:c r="F17" s="27" t="str">
        <x:v>https://ifibio-uba.conicet.gov.ar/personal-del-instituto/investigadores/</x:v>
      </x:c>
      <x:c r="G17" s="27" t="str">
        <x:v>Revisión administrativa</x:v>
      </x:c>
    </x:row>
    <x:row r="18">
      <x:c r="A18" s="27" t="str">
        <x:v>Gabriela Nieva</x:v>
      </x:c>
      <x:c r="B18" s="27" t="str">
        <x:v>Figura en el sitio oficial actual pero no en la planilla original</x:v>
      </x:c>
      <x:c r="C18" s="27" t="str">
        <x:v>Exintegrante</x:v>
      </x:c>
      <x:c r="D18" s="27" t="str"/>
      <x:c r="E18" s="27" t="str">
        <x:v>Grupo de Neurociencia de Sistemas</x:v>
      </x:c>
      <x:c r="F18" s="27" t="str">
        <x:v>https://ifibio-uba.conicet.gov.ar/personal-del-instituto/ex-integrantes/</x:v>
      </x:c>
      <x:c r="G18" s="27" t="str">
        <x:v>Agregar/validar alta</x:v>
      </x:c>
    </x:row>
    <x:row r="19">
      <x:c r="A19" s="27" t="str">
        <x:v>Gisela Di Giusto</x:v>
      </x:c>
      <x:c r="B19" s="27" t="str">
        <x:v>Duplicado en la planilla original (2 filas)</x:v>
      </x:c>
      <x:c r="C19" s="27" t="str">
        <x:v>Actual</x:v>
      </x:c>
      <x:c r="D19" s="27" t="str">
        <x:v>Laboratorio de Biomembranas</x:v>
      </x:c>
      <x:c r="E19" s="27" t="str">
        <x:v>Laboratorio de Biomembranas</x:v>
      </x:c>
      <x:c r="F19" s="27" t="str">
        <x:v>https://ifibio-uba.conicet.gov.ar/personal-del-instituto/investigadores/</x:v>
      </x:c>
      <x:c r="G19" s="27" t="str">
        <x:v>Revisión administrativa</x:v>
      </x:c>
    </x:row>
    <x:row r="20">
      <x:c r="A20" s="27" t="str">
        <x:v>Guillermina Griffa</x:v>
      </x:c>
      <x:c r="B20" s="27" t="str">
        <x:v>Figura en el sitio oficial actual pero no en la planilla original</x:v>
      </x:c>
      <x:c r="C20" s="27" t="str">
        <x:v>Exintegrante</x:v>
      </x:c>
      <x:c r="D20" s="27" t="str"/>
      <x:c r="E20" s="27" t="str">
        <x:v>Grupo de Neurociencia de Sistemas</x:v>
      </x:c>
      <x:c r="F20" s="27" t="str">
        <x:v>https://ifibio-uba.conicet.gov.ar/personal-del-instituto/ex-integrantes/</x:v>
      </x:c>
      <x:c r="G20" s="27" t="str">
        <x:v>Agregar/validar alta</x:v>
      </x:c>
    </x:row>
    <x:row r="21">
      <x:c r="A21" s="27" t="str">
        <x:v>Gustavo Murer</x:v>
      </x:c>
      <x:c r="B21" s="27" t="str">
        <x:v>Duplicado en la planilla original (2 filas)</x:v>
      </x:c>
      <x:c r="C21" s="27" t="str">
        <x:v>Actual</x:v>
      </x:c>
      <x:c r="D21" s="27" t="str">
        <x:v>Grupo de Neurociencia de Sistemas</x:v>
      </x:c>
      <x:c r="E21" s="27" t="str">
        <x:v>Grupo de Neurociencia de Sistemas</x:v>
      </x:c>
      <x:c r="F21" s="27" t="str">
        <x:v>https://ifibio-uba.conicet.gov.ar/personal-del-instituto/investigadores/</x:v>
      </x:c>
      <x:c r="G21" s="27" t="str">
        <x:v>Revisión administrativa</x:v>
      </x:c>
    </x:row>
    <x:row r="22">
      <x:c r="A22" s="27" t="str">
        <x:v>Iván Álvarez Mendoza</x:v>
      </x:c>
      <x:c r="B22" s="27" t="str">
        <x:v>Figura en el sitio oficial actual pero no en la planilla original</x:v>
      </x:c>
      <x:c r="C22" s="27" t="str">
        <x:v>Actual</x:v>
      </x:c>
      <x:c r="D22" s="27" t="str"/>
      <x:c r="E22" s="27" t="str">
        <x:v>Grupo de Neurociencia de Sistemas</x:v>
      </x:c>
      <x:c r="F22" s="27" t="str">
        <x:v>https://ifibio-uba.conicet.gov.ar/personal-del-instituto/becarios/</x:v>
      </x:c>
      <x:c r="G22" s="27" t="str">
        <x:v>Agregar/validar alta</x:v>
      </x:c>
    </x:row>
    <x:row r="23">
      <x:c r="A23" s="27" t="str">
        <x:v>Javier Fotti</x:v>
      </x:c>
      <x:c r="B23" s="27" t="str">
        <x:v>Duplicado en la planilla original (2 filas)</x:v>
      </x:c>
      <x:c r="C23" s="27" t="str">
        <x:v>Actual</x:v>
      </x:c>
      <x:c r="D23" s="27" t="str">
        <x:v>Grupo de Neurociencia de Sistemas</x:v>
      </x:c>
      <x:c r="E23" s="27" t="str">
        <x:v>Grupo de Neurociencia de Sistemas</x:v>
      </x:c>
      <x:c r="F23" s="27" t="str">
        <x:v>https://ifibio-uba.conicet.gov.ar/personal-del-instituto/becarios/</x:v>
      </x:c>
      <x:c r="G23" s="27" t="str">
        <x:v>Revisión administrativa</x:v>
      </x:c>
    </x:row>
    <x:row r="24">
      <x:c r="A24" s="27" t="str">
        <x:v>Joaquín Ortiz</x:v>
      </x:c>
      <x:c r="B24" s="27" t="str">
        <x:v>Laboratorio/grupo actual no coincide con la planilla original</x:v>
      </x:c>
      <x:c r="C24" s="27" t="str">
        <x:v>Exintegrante</x:v>
      </x:c>
      <x:c r="D24" s="27" t="str">
        <x:v>Laboratorio de Fisiopatogenia</x:v>
      </x:c>
      <x:c r="E24" s="27" t="str">
        <x:v>Grupo de Pez Cebra</x:v>
      </x:c>
      <x:c r="F24" s="27" t="str">
        <x:v>https://ifibio-uba.conicet.gov.ar/personal-del-instituto/ex-integrantes/</x:v>
      </x:c>
      <x:c r="G24" s="27" t="str">
        <x:v>Verificar pertenencia con el responsable</x:v>
      </x:c>
    </x:row>
    <x:row r="25">
      <x:c r="A25" s="27" t="str">
        <x:v>Juan Belforte</x:v>
      </x:c>
      <x:c r="B25" s="27" t="str">
        <x:v>Duplicado en la planilla original (2 filas)</x:v>
      </x:c>
      <x:c r="C25" s="27" t="str">
        <x:v>Actual</x:v>
      </x:c>
      <x:c r="D25" s="27" t="str">
        <x:v>Grupo de Neurociencia de Sistemas</x:v>
      </x:c>
      <x:c r="E25" s="27" t="str">
        <x:v>Grupo de Neurociencia de Sistemas</x:v>
      </x:c>
      <x:c r="F25" s="27" t="str">
        <x:v>https://ifibio-uba.conicet.gov.ar/personal-del-instituto/investigadores/</x:v>
      </x:c>
      <x:c r="G25" s="27" t="str">
        <x:v>Revisión administrativa</x:v>
      </x:c>
    </x:row>
    <x:row r="26">
      <x:c r="A26" s="27" t="str">
        <x:v>Juan Sterba</x:v>
      </x:c>
      <x:c r="B26" s="27" t="str">
        <x:v>Figura en el sitio oficial actual pero no en la planilla original</x:v>
      </x:c>
      <x:c r="C26" s="27" t="str">
        <x:v>Actual</x:v>
      </x:c>
      <x:c r="D26" s="27" t="str"/>
      <x:c r="E26" s="27" t="str">
        <x:v>Laboratorio de Biomembranas</x:v>
      </x:c>
      <x:c r="F26" s="27" t="str">
        <x:v>https://ifibio-uba.conicet.gov.ar/personal-del-instituto/becarios/</x:v>
      </x:c>
      <x:c r="G26" s="27" t="str">
        <x:v>Agregar/validar alta</x:v>
      </x:c>
    </x:row>
    <x:row r="27">
      <x:c r="A27" s="27" t="str">
        <x:v>Julieta Reppetti</x:v>
      </x:c>
      <x:c r="B27" s="27" t="str">
        <x:v>Figura en el sitio oficial actual pero no en la planilla original</x:v>
      </x:c>
      <x:c r="C27" s="27" t="str">
        <x:v>Exintegrante</x:v>
      </x:c>
      <x:c r="D27" s="27" t="str"/>
      <x:c r="E27" s="27" t="str">
        <x:v>Laboratorio de Biología de la Reproducción</x:v>
      </x:c>
      <x:c r="F27" s="27" t="str">
        <x:v>https://ifibio-uba.conicet.gov.ar/personal-del-instituto/ex-integrantes/</x:v>
      </x:c>
      <x:c r="G27" s="27" t="str">
        <x:v>Agregar/validar alta</x:v>
      </x:c>
    </x:row>
    <x:row r="28">
      <x:c r="A28" s="27" t="str">
        <x:v>Kianny Miroslava Sanchez Armijos</x:v>
      </x:c>
      <x:c r="B28" s="27" t="str">
        <x:v>Presente en la planilla original pero no localizado en las páginas actuales relevadas</x:v>
      </x:c>
      <x:c r="C28" s="27" t="str">
        <x:v>No encontrado en páginas actuales</x:v>
      </x:c>
      <x:c r="D28" s="27" t="str">
        <x:v>Grupo de Neurociencia de Sistemas</x:v>
      </x:c>
      <x:c r="E28" s="27" t="str"/>
      <x:c r="F28" s="27" t="str"/>
      <x:c r="G28" s="27" t="str">
        <x:v>Confirmar continuidad o baja</x:v>
      </x:c>
    </x:row>
    <x:row r="29">
      <x:c r="A29" s="27" t="str">
        <x:v>Leandro Rocco</x:v>
      </x:c>
      <x:c r="B29" s="27" t="str">
        <x:v>Laboratorio/grupo actual no coincide con la planilla original</x:v>
      </x:c>
      <x:c r="C29" s="27" t="str">
        <x:v>Actual</x:v>
      </x:c>
      <x:c r="D29" s="27" t="str">
        <x:v>Grupo de Neurociencia de Sistemas</x:v>
      </x:c>
      <x:c r="E29" s="27" t="str">
        <x:v>Grupo de Pez Cebra</x:v>
      </x:c>
      <x:c r="F29" s="27" t="str">
        <x:v>https://ifibio-uba.conicet.gov.ar/personal-del-instituto/becarios/</x:v>
      </x:c>
      <x:c r="G29" s="27" t="str">
        <x:v>Verificar pertenencia con el responsable</x:v>
      </x:c>
    </x:row>
    <x:row r="30">
      <x:c r="A30" s="27" t="str">
        <x:v>Lilian Fischer Sigel</x:v>
      </x:c>
      <x:c r="B30" s="27" t="str">
        <x:v>Laboratorio/grupo actual no coincide con la planilla original</x:v>
      </x:c>
      <x:c r="C30" s="27" t="str">
        <x:v>Exintegrante</x:v>
      </x:c>
      <x:c r="D30" s="27" t="str">
        <x:v>Laboratorio de Biomembranas</x:v>
      </x:c>
      <x:c r="E30" s="27" t="str">
        <x:v>Laboratorio de Fisiología Renal</x:v>
      </x:c>
      <x:c r="F30" s="27" t="str">
        <x:v>https://ifibio-uba.conicet.gov.ar/personal-del-instituto/ex-integrantes/</x:v>
      </x:c>
      <x:c r="G30" s="27" t="str">
        <x:v>Verificar pertenencia con el responsable</x:v>
      </x:c>
    </x:row>
    <x:row r="31">
      <x:c r="A31" s="27" t="str">
        <x:v>Lisandro Díaz Devicenzi</x:v>
      </x:c>
      <x:c r="B31" s="27" t="str">
        <x:v>Figura en el sitio oficial actual pero no en la planilla original</x:v>
      </x:c>
      <x:c r="C31" s="27" t="str">
        <x:v>Conflicto: actual y exintegrante</x:v>
      </x:c>
      <x:c r="D31" s="27" t="str"/>
      <x:c r="E31" s="27" t="str">
        <x:v>Grupo de Neurociencia de Sistemas</x:v>
      </x:c>
      <x:c r="F31" s="27" t="str">
        <x:v>https://ifibio-uba.conicet.gov.ar/personal-del-instituto/becarios/; https://ifibio-uba.conicet.gov.ar/personal-del-instituto/ex-integrantes/</x:v>
      </x:c>
      <x:c r="G31" s="27" t="str">
        <x:v>Agregar/validar alta</x:v>
      </x:c>
    </x:row>
    <x:row r="32">
      <x:c r="A32" s="27" t="str">
        <x:v>Lisandro Díaz Devicenzi</x:v>
      </x:c>
      <x:c r="B32" s="27" t="str">
        <x:v>La misma persona figura en una página actual y en Exintegrantes</x:v>
      </x:c>
      <x:c r="C32" s="27" t="str">
        <x:v>Conflicto: actual y exintegrante</x:v>
      </x:c>
      <x:c r="D32" s="27" t="str"/>
      <x:c r="E32" s="27" t="str">
        <x:v>Grupo de Neurociencia de Sistemas</x:v>
      </x:c>
      <x:c r="F32" s="27" t="str">
        <x:v>https://ifibio-uba.conicet.gov.ar/personal-del-instituto/becarios/; https://ifibio-uba.conicet.gov.ar/personal-del-instituto/ex-integrantes/</x:v>
      </x:c>
      <x:c r="G32" s="27" t="str">
        <x:v>Confirmar estado institucional</x:v>
      </x:c>
    </x:row>
    <x:row r="33">
      <x:c r="A33" s="27" t="str">
        <x:v>Luis Lazaro</x:v>
      </x:c>
      <x:c r="B33" s="27" t="str">
        <x:v>Presente en la planilla original pero no localizado en las páginas actuales relevadas</x:v>
      </x:c>
      <x:c r="C33" s="27" t="str">
        <x:v>No encontrado en páginas actuales</x:v>
      </x:c>
      <x:c r="D33" s="27" t="str">
        <x:v>Grupo de Neurociencia de Sistemas</x:v>
      </x:c>
      <x:c r="E33" s="27" t="str"/>
      <x:c r="F33" s="27" t="str"/>
      <x:c r="G33" s="27" t="str">
        <x:v>Confirmar continuidad o baja</x:v>
      </x:c>
    </x:row>
    <x:row r="34">
      <x:c r="A34" s="27" t="str">
        <x:v>Luis Riquelme</x:v>
      </x:c>
      <x:c r="B34" s="27" t="str">
        <x:v>Figura en el sitio oficial actual pero no en la planilla original</x:v>
      </x:c>
      <x:c r="C34" s="27" t="str">
        <x:v>Exintegrante</x:v>
      </x:c>
      <x:c r="D34" s="27" t="str"/>
      <x:c r="E34" s="27" t="str">
        <x:v>Grupo de Neurociencia de Sistemas</x:v>
      </x:c>
      <x:c r="F34" s="27" t="str">
        <x:v>https://ifibio-uba.conicet.gov.ar/personal-del-instituto/ex-integrantes/</x:v>
      </x:c>
      <x:c r="G34" s="27" t="str">
        <x:v>Agregar/validar alta</x:v>
      </x:c>
    </x:row>
    <x:row r="35">
      <x:c r="A35" s="27" t="str">
        <x:v>Marcos Coletti</x:v>
      </x:c>
      <x:c r="B35" s="27" t="str">
        <x:v>Figura en el sitio oficial actual pero no en la planilla original</x:v>
      </x:c>
      <x:c r="C35" s="27" t="str">
        <x:v>Exintegrante</x:v>
      </x:c>
      <x:c r="D35" s="27" t="str"/>
      <x:c r="E35" s="27" t="str">
        <x:v>Grupo de Neurociencia de Sistemas</x:v>
      </x:c>
      <x:c r="F35" s="27" t="str">
        <x:v>https://ifibio-uba.conicet.gov.ar/personal-del-instituto/ex-integrantes/</x:v>
      </x:c>
      <x:c r="G35" s="27" t="str">
        <x:v>Agregar/validar alta</x:v>
      </x:c>
    </x:row>
    <x:row r="36">
      <x:c r="A36" s="27" t="str">
        <x:v>María Camila Bagliani</x:v>
      </x:c>
      <x:c r="B36" s="27" t="str">
        <x:v>Presente en la planilla original pero no localizado en las páginas actuales relevadas</x:v>
      </x:c>
      <x:c r="C36" s="27" t="str">
        <x:v>No encontrado en páginas actuales</x:v>
      </x:c>
      <x:c r="D36" s="27" t="str">
        <x:v>Grupo de Neurociencia de Sistemas</x:v>
      </x:c>
      <x:c r="E36" s="27" t="str"/>
      <x:c r="F36" s="27" t="str"/>
      <x:c r="G36" s="27" t="str">
        <x:v>Confirmar continuidad o baja</x:v>
      </x:c>
    </x:row>
    <x:row r="37">
      <x:c r="A37" s="27" t="str">
        <x:v>Mariano Belluscio</x:v>
      </x:c>
      <x:c r="B37" s="27" t="str">
        <x:v>Categoría posiblemente actualizada: planilla=ADJUNTO; web=INDEPENDIENTE</x:v>
      </x:c>
      <x:c r="C37" s="27" t="str">
        <x:v>Exintegrante</x:v>
      </x:c>
      <x:c r="D37" s="27" t="str">
        <x:v>Grupo de Neurociencia de Sistemas</x:v>
      </x:c>
      <x:c r="E37" s="27" t="str">
        <x:v>Grupo de Neurociencia de Sistemas</x:v>
      </x:c>
      <x:c r="F37" s="27" t="str">
        <x:v>https://ifibio-uba.conicet.gov.ar/personal-del-instituto/ex-integrantes/</x:v>
      </x:c>
      <x:c r="G37" s="27" t="str">
        <x:v>Confirmar categoría vigente</x:v>
      </x:c>
    </x:row>
    <x:row r="38">
      <x:c r="A38" s="27" t="str">
        <x:v>Matías Sierra</x:v>
      </x:c>
      <x:c r="B38" s="27" t="str">
        <x:v>Laboratorio/grupo actual no coincide con la planilla original</x:v>
      </x:c>
      <x:c r="C38" s="27" t="str">
        <x:v>Actual</x:v>
      </x:c>
      <x:c r="D38" s="27" t="str">
        <x:v>Laboratorio de Biomembranas</x:v>
      </x:c>
      <x:c r="E38" s="27" t="str">
        <x:v>Laboratorio de Biología de la Reproducción</x:v>
      </x:c>
      <x:c r="F38" s="27" t="str">
        <x:v>https://ifibio-uba.conicet.gov.ar/personal-del-instituto/becarios/</x:v>
      </x:c>
      <x:c r="G38" s="27" t="str">
        <x:v>Verificar pertenencia con el responsable</x:v>
      </x:c>
    </x:row>
    <x:row r="39">
      <x:c r="A39" s="27" t="str">
        <x:v>Mauricio Norman Montenegro</x:v>
      </x:c>
      <x:c r="B39" s="27" t="str">
        <x:v>Presente en la planilla original pero no localizado en las páginas actuales relevadas</x:v>
      </x:c>
      <x:c r="C39" s="27" t="str">
        <x:v>No encontrado en páginas actuales</x:v>
      </x:c>
      <x:c r="D39" s="27" t="str">
        <x:v>Grupo de Neurociencia de Sistemas</x:v>
      </x:c>
      <x:c r="E39" s="27" t="str"/>
      <x:c r="F39" s="27" t="str"/>
      <x:c r="G39" s="27" t="str">
        <x:v>Confirmar continuidad o baja</x:v>
      </x:c>
    </x:row>
    <x:row r="40">
      <x:c r="A40" s="27" t="str">
        <x:v>Natalia Beltramone</x:v>
      </x:c>
      <x:c r="B40" s="27" t="str">
        <x:v>Duplicado en la planilla original (2 filas)</x:v>
      </x:c>
      <x:c r="C40" s="27" t="str">
        <x:v>Actual</x:v>
      </x:c>
      <x:c r="D40" s="27" t="str">
        <x:v>Personal de Apoyo (CPA); Servicios / Apoyo Técnico</x:v>
      </x:c>
      <x:c r="E40" s="27" t="str">
        <x:v>Servicios / Apoyo Técnico</x:v>
      </x:c>
      <x:c r="F40" s="27" t="str">
        <x:v>https://ifibio-uba.conicet.gov.ar/personal-del-instituto/cpa/</x:v>
      </x:c>
      <x:c r="G40" s="27" t="str">
        <x:v>Revisión administrativa</x:v>
      </x:c>
    </x:row>
    <x:row r="41">
      <x:c r="A41" s="27" t="str">
        <x:v>Natalia Szpilbarg</x:v>
      </x:c>
      <x:c r="B41" s="27" t="str">
        <x:v>Laboratorio/grupo actual no coincide con la planilla original</x:v>
      </x:c>
      <x:c r="C41" s="27" t="str">
        <x:v>Exintegrante</x:v>
      </x:c>
      <x:c r="D41" s="27" t="str">
        <x:v>Laboratorio de Fisiopatogenia</x:v>
      </x:c>
      <x:c r="E41" s="27" t="str">
        <x:v>Laboratorio de Biología de la Reproducción</x:v>
      </x:c>
      <x:c r="F41" s="27" t="str">
        <x:v>https://ifibio-uba.conicet.gov.ar/personal-del-instituto/ex-integrantes/</x:v>
      </x:c>
      <x:c r="G41" s="27" t="str">
        <x:v>Verificar pertenencia con el responsable</x:v>
      </x:c>
    </x:row>
    <x:row r="42">
      <x:c r="A42" s="27" t="str">
        <x:v>Nazarena Fernandez</x:v>
      </x:c>
      <x:c r="B42" s="27" t="str">
        <x:v>Laboratorio/grupo actual no coincide con la planilla original</x:v>
      </x:c>
      <x:c r="C42" s="27" t="str">
        <x:v>Actual</x:v>
      </x:c>
      <x:c r="D42" s="27" t="str">
        <x:v>Laboratorio de Biomembranas</x:v>
      </x:c>
      <x:c r="E42" s="27" t="str">
        <x:v>Laboratorio de Biología de la Reproducción</x:v>
      </x:c>
      <x:c r="F42" s="27" t="str">
        <x:v>https://ifibio-uba.conicet.gov.ar/personal-del-instituto/becarios/</x:v>
      </x:c>
      <x:c r="G42" s="27" t="str">
        <x:v>Verificar pertenencia con el responsable</x:v>
      </x:c>
    </x:row>
    <x:row r="43">
      <x:c r="A43" s="27" t="str">
        <x:v>Nicolás Cristi</x:v>
      </x:c>
      <x:c r="B43" s="27" t="str">
        <x:v>Figura en el sitio oficial actual pero no en la planilla original</x:v>
      </x:c>
      <x:c r="C43" s="27" t="str">
        <x:v>Conflicto: actual y exintegrante</x:v>
      </x:c>
      <x:c r="D43" s="27" t="str"/>
      <x:c r="E43" s="27" t="str">
        <x:v>Laboratorio de Neuropsicología de la Performance</x:v>
      </x:c>
      <x:c r="F43" s="27" t="str">
        <x:v>https://ifibio-uba.conicet.gov.ar/personal-del-instituto/becarios/; https://ifibio-uba.conicet.gov.ar/personal-del-instituto/ex-integrantes/</x:v>
      </x:c>
      <x:c r="G43" s="27" t="str">
        <x:v>Agregar/validar alta</x:v>
      </x:c>
    </x:row>
    <x:row r="44">
      <x:c r="A44" s="27" t="str">
        <x:v>Nicolás Cristi</x:v>
      </x:c>
      <x:c r="B44" s="27" t="str">
        <x:v>La misma persona figura en una página actual y en Exintegrantes</x:v>
      </x:c>
      <x:c r="C44" s="27" t="str">
        <x:v>Conflicto: actual y exintegrante</x:v>
      </x:c>
      <x:c r="D44" s="27" t="str"/>
      <x:c r="E44" s="27" t="str">
        <x:v>Laboratorio de Neuropsicología de la Performance</x:v>
      </x:c>
      <x:c r="F44" s="27" t="str">
        <x:v>https://ifibio-uba.conicet.gov.ar/personal-del-instituto/becarios/; https://ifibio-uba.conicet.gov.ar/personal-del-instituto/ex-integrantes/</x:v>
      </x:c>
      <x:c r="G44" s="27" t="str">
        <x:v>Confirmar estado institucional</x:v>
      </x:c>
    </x:row>
    <x:row r="45">
      <x:c r="A45" s="27" t="str">
        <x:v>Nora Martinez</x:v>
      </x:c>
      <x:c r="B45" s="27" t="str">
        <x:v>El texto de pertenencia publicado no coincide con la página de grupo enlazada</x:v>
      </x:c>
      <x:c r="C45" s="27" t="str">
        <x:v>Actual</x:v>
      </x:c>
      <x:c r="D45" s="27" t="str">
        <x:v>Laboratorio de Fisiopatogenia</x:v>
      </x:c>
      <x:c r="E45" s="27" t="str">
        <x:v>Laboratorio de Biomembranas</x:v>
      </x:c>
      <x:c r="F45" s="27" t="str">
        <x:v>https://ifibio-uba.conicet.gov.ar/personal-del-instituto/investigadores/</x:v>
      </x:c>
      <x:c r="G45" s="27" t="str">
        <x:v>Verificar pertenencia con el responsable</x:v>
      </x:c>
    </x:row>
    <x:row r="46">
      <x:c r="A46" s="27" t="str">
        <x:v>Nora Martinez</x:v>
      </x:c>
      <x:c r="B46" s="27" t="str">
        <x:v>Laboratorio/grupo actual no coincide con la planilla original</x:v>
      </x:c>
      <x:c r="C46" s="27" t="str">
        <x:v>Actual</x:v>
      </x:c>
      <x:c r="D46" s="27" t="str">
        <x:v>Laboratorio de Fisiopatogenia</x:v>
      </x:c>
      <x:c r="E46" s="27" t="str">
        <x:v>Laboratorio de Biomembranas</x:v>
      </x:c>
      <x:c r="F46" s="27" t="str">
        <x:v>https://ifibio-uba.conicet.gov.ar/personal-del-instituto/investigadores/</x:v>
      </x:c>
      <x:c r="G46" s="27" t="str">
        <x:v>Verificar pertenencia con el responsable</x:v>
      </x:c>
    </x:row>
    <x:row r="47">
      <x:c r="A47" s="27" t="str">
        <x:v>Nora Martinez</x:v>
      </x:c>
      <x:c r="B47" s="27" t="str">
        <x:v>Se corrigió el error tipográfico 'Bimembranas/Biommbranas' del sitio</x:v>
      </x:c>
      <x:c r="C47" s="27" t="str">
        <x:v>Actual</x:v>
      </x:c>
      <x:c r="D47" s="27" t="str">
        <x:v>Laboratorio de Fisiopatogenia</x:v>
      </x:c>
      <x:c r="E47" s="27" t="str">
        <x:v>Laboratorio de Biomembranas</x:v>
      </x:c>
      <x:c r="F47" s="27" t="str">
        <x:v>https://ifibio-uba.conicet.gov.ar/personal-del-instituto/investigadores/</x:v>
      </x:c>
      <x:c r="G47" s="27" t="str">
        <x:v>Revisión administrativa</x:v>
      </x:c>
    </x:row>
    <x:row r="48">
      <x:c r="A48" s="27" t="str">
        <x:v>Pilar Jove</x:v>
      </x:c>
      <x:c r="B48" s="27" t="str">
        <x:v>Figura en el sitio oficial actual pero no en la planilla original</x:v>
      </x:c>
      <x:c r="C48" s="27" t="str">
        <x:v>Actual</x:v>
      </x:c>
      <x:c r="D48" s="27" t="str"/>
      <x:c r="E48" s="27" t="str">
        <x:v>Laboratorio de Fisiología Renal</x:v>
      </x:c>
      <x:c r="F48" s="27" t="str">
        <x:v>https://ifibio-uba.conicet.gov.ar/personal-del-instituto/becarios/</x:v>
      </x:c>
      <x:c r="G48" s="27" t="str">
        <x:v>Agregar/validar alta</x:v>
      </x:c>
    </x:row>
    <x:row r="49">
      <x:c r="A49" s="27" t="str">
        <x:v>Rafael Pagani</x:v>
      </x:c>
      <x:c r="B49" s="27" t="str">
        <x:v>Duplicado en la planilla original (2 filas)</x:v>
      </x:c>
      <x:c r="C49" s="27" t="str">
        <x:v>Actual</x:v>
      </x:c>
      <x:c r="D49" s="27" t="str">
        <x:v>Grupo de Neurociencia de Sistemas</x:v>
      </x:c>
      <x:c r="E49" s="27" t="str">
        <x:v>Grupo de Neurociencia de Sistemas</x:v>
      </x:c>
      <x:c r="F49" s="27" t="str">
        <x:v>https://ifibio-uba.conicet.gov.ar/personal-del-instituto/investigadores/</x:v>
      </x:c>
      <x:c r="G49" s="27" t="str">
        <x:v>Revisión administrativa</x:v>
      </x:c>
    </x:row>
    <x:row r="50">
      <x:c r="A50" s="27" t="str">
        <x:v>Ramón Bernabeu</x:v>
      </x:c>
      <x:c r="B50" s="27" t="str">
        <x:v>Categoría posiblemente actualizada: planilla=PRINCIPAL; web=INDEPENDIENTE</x:v>
      </x:c>
      <x:c r="C50" s="27" t="str">
        <x:v>Actual</x:v>
      </x:c>
      <x:c r="D50" s="27" t="str">
        <x:v>Grupo de Pez Cebra</x:v>
      </x:c>
      <x:c r="E50" s="27" t="str">
        <x:v>Grupo de Pez Cebra</x:v>
      </x:c>
      <x:c r="F50" s="27" t="str">
        <x:v>https://ifibio-uba.conicet.gov.ar/personal-del-instituto/investigadores/</x:v>
      </x:c>
      <x:c r="G50" s="27" t="str">
        <x:v>Confirmar categoría vigente</x:v>
      </x:c>
    </x:row>
    <x:row r="51">
      <x:c r="A51" s="27" t="str">
        <x:v>Roxana Toriano</x:v>
      </x:c>
      <x:c r="B51" s="27" t="str">
        <x:v>Se corrigió el error tipográfico 'Bimembranas/Biommbranas' del sitio</x:v>
      </x:c>
      <x:c r="C51" s="27" t="str">
        <x:v>Actual</x:v>
      </x:c>
      <x:c r="D51" s="27" t="str">
        <x:v>Laboratorio de Biomembranas</x:v>
      </x:c>
      <x:c r="E51" s="27" t="str">
        <x:v>Laboratorio de Biomembranas</x:v>
      </x:c>
      <x:c r="F51" s="27" t="str">
        <x:v>https://ifibio-uba.conicet.gov.ar/personal-del-instituto/investigadores/</x:v>
      </x:c>
      <x:c r="G51" s="27" t="str">
        <x:v>Revisión administrativa</x:v>
      </x:c>
    </x:row>
    <x:row r="52">
      <x:c r="A52" s="27" t="str">
        <x:v>Santiago Merlo</x:v>
      </x:c>
      <x:c r="B52" s="27" t="str">
        <x:v>Figura en el sitio oficial actual pero no en la planilla original</x:v>
      </x:c>
      <x:c r="C52" s="27" t="str">
        <x:v>Exintegrante</x:v>
      </x:c>
      <x:c r="D52" s="27" t="str"/>
      <x:c r="E52" s="27" t="str">
        <x:v>Grupo de Neurociencia de Sistemas</x:v>
      </x:c>
      <x:c r="F52" s="27" t="str">
        <x:v>https://ifibio-uba.conicet.gov.ar/personal-del-instituto/ex-integrantes/</x:v>
      </x:c>
      <x:c r="G52" s="27" t="str">
        <x:v>Agregar/validar alta</x:v>
      </x:c>
    </x:row>
    <x:row r="53">
      <x:c r="A53" s="27" t="str">
        <x:v>Valeria Casazza</x:v>
      </x:c>
      <x:c r="B53" s="27" t="str">
        <x:v>Figura en el sitio oficial actual pero no en la planilla original</x:v>
      </x:c>
      <x:c r="C53" s="27" t="str">
        <x:v>Actual</x:v>
      </x:c>
      <x:c r="D53" s="27" t="str"/>
      <x:c r="E53" s="27" t="str">
        <x:v>Gestión y Administración</x:v>
      </x:c>
      <x:c r="F53" s="27" t="str">
        <x:v>https://ifibio-uba.conicet.gov.ar/personal-del-instituto/cpa/</x:v>
      </x:c>
      <x:c r="G53" s="27" t="str">
        <x:v>Agregar/validar alta</x:v>
      </x:c>
    </x:row>
    <x:row r="54">
      <x:c r="A54" s="27" t="str">
        <x:v>Valeria Rivarola</x:v>
      </x:c>
      <x:c r="B54" s="27" t="str">
        <x:v>Duplicado en la planilla original (2 filas)</x:v>
      </x:c>
      <x:c r="C54" s="27" t="str">
        <x:v>Actual</x:v>
      </x:c>
      <x:c r="D54" s="27" t="str">
        <x:v>Laboratorio de Biomembranas</x:v>
      </x:c>
      <x:c r="E54" s="27" t="str">
        <x:v>Laboratorio de Biomembranas</x:v>
      </x:c>
      <x:c r="F54" s="27" t="str">
        <x:v>https://ifibio-uba.conicet.gov.ar/personal-del-instituto/investigadores/</x:v>
      </x:c>
      <x:c r="G54" s="27" t="str">
        <x:v>Revisión administrativa</x:v>
      </x:c>
    </x:row>
    <x:row r="55">
      <x:c r="A55" s="27" t="str">
        <x:v>Vanina Netti</x:v>
      </x:c>
      <x:c r="B55" s="27" t="str">
        <x:v>Categoría posiblemente actualizada: planilla=ADJUNTO; web=ASISTENTE</x:v>
      </x:c>
      <x:c r="C55" s="27" t="str">
        <x:v>Actual</x:v>
      </x:c>
      <x:c r="D55" s="27" t="str">
        <x:v>Laboratorio de Biomembranas</x:v>
      </x:c>
      <x:c r="E55" s="27" t="str">
        <x:v>Laboratorio de Biomembranas</x:v>
      </x:c>
      <x:c r="F55" s="27" t="str">
        <x:v>https://ifibio-uba.conicet.gov.ar/personal-del-instituto/investigadores/</x:v>
      </x:c>
      <x:c r="G55" s="27" t="str">
        <x:v>Confirmar categoría vigente</x:v>
      </x:c>
    </x:row>
    <x:row r="56">
      <x:c r="A56" s="27" t="str">
        <x:v>Wanderson Marques Da Silva</x:v>
      </x:c>
      <x:c r="B56" s="27" t="str">
        <x:v>Presente en la planilla original pero no localizado en las páginas actuales relevadas</x:v>
      </x:c>
      <x:c r="C56" s="27" t="str">
        <x:v>No encontrado en páginas actuales</x:v>
      </x:c>
      <x:c r="D56" s="27" t="str">
        <x:v>Laboratorio de Fisiopatogenia</x:v>
      </x:c>
      <x:c r="E56" s="27" t="str"/>
      <x:c r="F56" s="27" t="str"/>
      <x:c r="G56" s="27" t="str">
        <x:v>Confirmar continuidad o baja</x:v>
      </x:c>
    </x:row>
    <x:row r="57">
      <x:c r="A57" s="27" t="str">
        <x:v>William Jordi Cedeño Viteri</x:v>
      </x:c>
      <x:c r="B57" s="27" t="str">
        <x:v>Presente en la planilla original pero no localizado en las páginas actuales relevadas</x:v>
      </x:c>
      <x:c r="C57" s="27" t="str">
        <x:v>No encontrado en páginas actuales</x:v>
      </x:c>
      <x:c r="D57" s="27" t="str">
        <x:v>Grupo de Neurociencia de Sistemas</x:v>
      </x:c>
      <x:c r="E57" s="27" t="str"/>
      <x:c r="F57" s="27" t="str"/>
      <x:c r="G57" s="27" t="str">
        <x:v>Confirmar continuidad o baja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35fb70058d24e6e"/>
  </x:tableParts>
</x:worksheet>
</file>

<file path=xl/worksheets/sheet7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62" hidden="0" customWidth="1"/>
    <x:col min="4" max="4" width="16" hidden="0" customWidth="1"/>
  </x:cols>
  <x:sheetData>
    <x:row r="1" ht="28" customHeight="1">
      <x:c r="A1" s="17" t="str">
        <x:v>Fuentes, criterios y limitaciones</x:v>
      </x:c>
    </x:row>
    <x:row r="3" ht="34" customHeight="1">
      <x:c r="A3" s="23" t="str">
        <x:v>Sección oficial</x:v>
      </x:c>
      <x:c r="B3" s="23" t="str">
        <x:v>URL</x:v>
      </x:c>
      <x:c r="C3" s="23" t="str">
        <x:v>Uso en el cruce</x:v>
      </x:c>
      <x:c r="D3" s="23" t="str">
        <x:v>Fecha de consulta</x:v>
      </x:c>
    </x:row>
    <x:row r="4">
      <x:c r="A4" s="27" t="str">
        <x:v>Laboratorios y grupos</x:v>
      </x:c>
      <x:c r="B4" s="27" t="str">
        <x:v>https://ifibio-uba.conicet.gov.ar/labs/</x:v>
      </x:c>
      <x:c r="C4" s="27" t="str">
        <x:v>Estructura institucional, subgrupos y responsables</x:v>
      </x:c>
      <x:c r="D4" s="27" t="str">
        <x:v>2026-09-10</x:v>
      </x:c>
    </x:row>
    <x:row r="5">
      <x:c r="A5" s="27" t="str">
        <x:v>Investigadores</x:v>
      </x:c>
      <x:c r="B5" s="27" t="str">
        <x:v>https://ifibio-uba.conicet.gov.ar/personal-del-instituto/investigadores/</x:v>
      </x:c>
      <x:c r="C5" s="27" t="str">
        <x:v>Nómina, categoría y pertenencia actual</x:v>
      </x:c>
      <x:c r="D5" s="27" t="str">
        <x:v>2026-09-10</x:v>
      </x:c>
    </x:row>
    <x:row r="6">
      <x:c r="A6" s="27" t="str">
        <x:v>Personal de Apoyo</x:v>
      </x:c>
      <x:c r="B6" s="27" t="str">
        <x:v>https://ifibio-uba.conicet.gov.ar/personal-del-instituto/cpa/</x:v>
      </x:c>
      <x:c r="C6" s="27" t="str">
        <x:v>Nómina CPA, categoría, área y descripción funcional</x:v>
      </x:c>
      <x:c r="D6" s="27" t="str">
        <x:v>2026-09-10</x:v>
      </x:c>
    </x:row>
    <x:row r="7">
      <x:c r="A7" s="27" t="str">
        <x:v>Becarios</x:v>
      </x:c>
      <x:c r="B7" s="27" t="str">
        <x:v>https://ifibio-uba.conicet.gov.ar/personal-del-instituto/becarios/</x:v>
      </x:c>
      <x:c r="C7" s="27" t="str">
        <x:v>Nómina, tipo de beca y grupo actual</x:v>
      </x:c>
      <x:c r="D7" s="27" t="str">
        <x:v>2026-09-10</x:v>
      </x:c>
    </x:row>
    <x:row r="8">
      <x:c r="A8" s="27" t="str">
        <x:v>Exintegrantes</x:v>
      </x:c>
      <x:c r="B8" s="27" t="str">
        <x:v>https://ifibio-uba.conicet.gov.ar/personal-del-instituto/ex-integrantes/</x:v>
      </x:c>
      <x:c r="C8" s="27" t="str">
        <x:v>Detección de bajas y pertenencia previa</x:v>
      </x:c>
      <x:c r="D8" s="27" t="str">
        <x:v>2026-09-10</x:v>
      </x:c>
    </x:row>
    <x:row r="11" ht="34" customHeight="1">
      <x:c r="A11" s="23" t="str">
        <x:v>Criterio</x:v>
      </x:c>
      <x:c r="B11" s="23" t="str">
        <x:v>Descripción</x:v>
      </x:c>
    </x:row>
    <x:row r="12">
      <x:c r="A12" s="27" t="str">
        <x:v>Prioridad</x:v>
      </x:c>
      <x:c r="B12" s="27" t="str">
        <x:v>Para el estado actual se priorizaron las páginas de Investigadores, Personal de Apoyo y Becarios. La página Exintegrantes determina las bajas publicadas.</x:v>
      </x:c>
    </x:row>
    <x:row r="13">
      <x:c r="A13" s="27" t="str">
        <x:v>Conflictos</x:v>
      </x:c>
      <x:c r="B13" s="27" t="str">
        <x:v>Si una persona figura simultáneamente en una página actual y en Exintegrantes, se conserva como conflicto sin decidir automáticamente.</x:v>
      </x:c>
    </x:row>
    <x:row r="14">
      <x:c r="A14" s="27" t="str">
        <x:v>Normalización</x:v>
      </x:c>
      <x:c r="B14" s="27" t="str">
        <x:v>Se corrigieron únicamente variantes obvias de escritura y errores tipográficos de los rótulos, conservando el texto original en columnas separadas.</x:v>
      </x:c>
    </x:row>
    <x:row r="15">
      <x:c r="A15" s="27" t="str">
        <x:v>Subgrupos</x:v>
      </x:c>
      <x:c r="B15" s="27" t="str">
        <x:v>Se tomó el subgrupo explícito del sitio o la página de grupo enlazada. Si el sitio no lo especifica, se conservó la asignación original y se marcó cuando corresponde.</x:v>
      </x:c>
    </x:row>
    <x:row r="16">
      <x:c r="A16" s="27" t="str">
        <x:v>Cobertura</x:v>
      </x:c>
      <x:c r="B16" s="27" t="str">
        <x:v>El archivo refleja lo publicado en el sitio oficial en la fecha indicada; una ausencia web no demuestra por sí sola una baja institucional.</x:v>
      </x:c>
    </x:row>
  </x:sheetData>
  <x:mergeCells>
    <x:mergeCell ref="A1:D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44" hidden="0" customWidth="1"/>
    <x:col min="4" max="4" width="24" hidden="0" customWidth="1"/>
    <x:col min="5" max="5" width="24" hidden="0" customWidth="1"/>
    <x:col min="6" max="6" width="28" hidden="0" customWidth="1"/>
    <x:col min="7" max="7" width="30" hidden="0" customWidth="1"/>
    <x:col min="8" max="8" width="34" hidden="0" customWidth="1"/>
    <x:col min="9" max="9" width="38" hidden="0" customWidth="1"/>
    <x:col min="10" max="10" width="25" hidden="0" customWidth="1"/>
    <x:col min="11" max="11" width="52" hidden="0" customWidth="1"/>
    <x:col min="12" max="12" width="48" hidden="0" customWidth="1"/>
    <x:col min="13" max="13" width="20" hidden="0" customWidth="1"/>
  </x:cols>
  <x:sheetData>
    <x:row r="1" ht="34" customHeight="1">
      <x:c r="A1" s="38" t="str">
        <x:v>Sector</x:v>
      </x:c>
      <x:c r="B1" s="39" t="str">
        <x:v>ID de unidad</x:v>
      </x:c>
      <x:c r="C1" s="39" t="str">
        <x:v>Unidad</x:v>
      </x:c>
      <x:c r="D1" s="39" t="str">
        <x:v>Tipo de unidad</x:v>
      </x:c>
      <x:c r="E1" s="39" t="str">
        <x:v>Responsable</x:v>
      </x:c>
      <x:c r="F1" s="39" t="str">
        <x:v>Nombre</x:v>
      </x:c>
      <x:c r="G1" s="39" t="str">
        <x:v>Estado</x:v>
      </x:c>
      <x:c r="H1" s="39" t="str">
        <x:v>Rol / categoría</x:v>
      </x:c>
      <x:c r="I1" s="39" t="str">
        <x:v>Subgrupo / línea</x:v>
      </x:c>
      <x:c r="J1" s="39" t="str">
        <x:v>Área técnica</x:v>
      </x:c>
      <x:c r="K1" s="39" t="str">
        <x:v>Observaciones</x:v>
      </x:c>
      <x:c r="L1" s="39" t="str">
        <x:v>Página oficial de la unidad</x:v>
      </x:c>
      <x:c r="M1" s="40" t="str">
        <x:v>Fecha de verificación</x:v>
      </x:c>
    </x:row>
    <x:row r="2" ht="21" customHeight="1">
      <x:c r="A2" s="41" t="str">
        <x:v>Gestión institucional</x:v>
      </x:c>
      <x:c r="B2" s="41" t="str">
        <x:v>gestion-y-administracion</x:v>
      </x:c>
      <x:c r="C2" s="41" t="str">
        <x:v>Gestión institucional</x:v>
      </x:c>
      <x:c r="D2" s="41" t="str">
        <x:v>Sector institucional</x:v>
      </x:c>
      <x:c r="E2" s="41" t="str"/>
      <x:c r="F2" s="41" t="str">
        <x:v>María Luján Costanzo</x:v>
      </x:c>
      <x:c r="G2" s="41" t="str">
        <x:v>Actual</x:v>
      </x:c>
      <x:c r="H2" s="47" t="str">
        <x:v>Secretaría IFIBIO Houssay</x:v>
      </x:c>
      <x:c r="I2" s="47" t="str"/>
      <x:c r="J2" s="47" t="str"/>
      <x:c r="K2" s="47" t="str"/>
      <x:c r="L2" s="47" t="str">
        <x:v>https://ifibio-uba.conicet.gov.ar/personal-del-instituto/cpa/</x:v>
      </x:c>
      <x:c r="M2" s="44" t="n">
        <x:v>46275</x:v>
      </x:c>
    </x:row>
    <x:row r="3" ht="21" customHeight="1">
      <x:c r="A3" s="42" t="str">
        <x:v>Gestión institucional</x:v>
      </x:c>
      <x:c r="B3" s="42" t="str">
        <x:v>gestion-y-administracion</x:v>
      </x:c>
      <x:c r="C3" s="42" t="str">
        <x:v>Gestión institucional</x:v>
      </x:c>
      <x:c r="D3" s="42" t="str">
        <x:v>Sector institucional</x:v>
      </x:c>
      <x:c r="E3" s="42" t="str"/>
      <x:c r="F3" s="42" t="str">
        <x:v>Valeria Casazza</x:v>
      </x:c>
      <x:c r="G3" s="42" t="str">
        <x:v>Actual</x:v>
      </x:c>
      <x:c r="H3" s="48" t="str">
        <x:v>Secretaría IFIBIO Houssay</x:v>
      </x:c>
      <x:c r="I3" s="48" t="str"/>
      <x:c r="J3" s="48" t="str"/>
      <x:c r="K3" s="48" t="str"/>
      <x:c r="L3" s="48" t="str">
        <x:v>https://ifibio-uba.conicet.gov.ar/personal-del-instituto/cpa/</x:v>
      </x:c>
      <x:c r="M3" s="45" t="n">
        <x:v>46275</x:v>
      </x:c>
    </x:row>
    <x:row r="4" ht="21" customHeight="1">
      <x:c r="A4" s="42" t="str">
        <x:v>Grupos de investigación</x:v>
      </x:c>
      <x:c r="B4" s="42" t="str">
        <x:v>grupo-de-neurociencia-de-sistemas</x:v>
      </x:c>
      <x:c r="C4" s="42" t="str">
        <x:v>Grupo de Neurociencia de Sistemas</x:v>
      </x:c>
      <x:c r="D4" s="42" t="str">
        <x:v>Grupo de investigación</x:v>
      </x:c>
      <x:c r="E4" s="42" t="str"/>
      <x:c r="F4" s="42" t="str">
        <x:v>Alba Richaudeau</x:v>
      </x:c>
      <x:c r="G4" s="42" t="str">
        <x:v>Actual</x:v>
      </x:c>
      <x:c r="H4" s="48" t="str">
        <x:v>Investigadora UBA</x:v>
      </x:c>
      <x:c r="I4" s="48" t="str"/>
      <x:c r="J4" s="48" t="str"/>
      <x:c r="K4" s="48" t="str"/>
      <x:c r="L4" s="48" t="str">
        <x:v>https://ifibio-uba.conicet.gov.ar/labs/gns/</x:v>
      </x:c>
      <x:c r="M4" s="45" t="n">
        <x:v>46275</x:v>
      </x:c>
    </x:row>
    <x:row r="5" ht="21" customHeight="1">
      <x:c r="A5" s="42" t="str">
        <x:v>Grupos de investigación</x:v>
      </x:c>
      <x:c r="B5" s="42" t="str">
        <x:v>grupo-de-neurociencia-de-sistemas</x:v>
      </x:c>
      <x:c r="C5" s="42" t="str">
        <x:v>Grupo de Neurociencia de Sistemas</x:v>
      </x:c>
      <x:c r="D5" s="42" t="str">
        <x:v>Grupo de investigación</x:v>
      </x:c>
      <x:c r="E5" s="42" t="str"/>
      <x:c r="F5" s="42" t="str">
        <x:v>Andrés Varani</x:v>
      </x:c>
      <x:c r="G5" s="42" t="str">
        <x:v>Actual</x:v>
      </x:c>
      <x:c r="H5" s="48" t="str">
        <x:v>Investigador Asistente</x:v>
      </x:c>
      <x:c r="I5" s="48" t="str">
        <x:v>Fisiología de la Conducta Animal</x:v>
      </x:c>
      <x:c r="J5" s="48" t="str"/>
      <x:c r="K5" s="48" t="str"/>
      <x:c r="L5" s="48" t="str">
        <x:v>https://ifibio-uba.conicet.gov.ar/labs/gns/</x:v>
      </x:c>
      <x:c r="M5" s="45" t="n">
        <x:v>46275</x:v>
      </x:c>
    </x:row>
    <x:row r="6" ht="21" customHeight="1">
      <x:c r="A6" s="42" t="str">
        <x:v>Grupos de investigación</x:v>
      </x:c>
      <x:c r="B6" s="42" t="str">
        <x:v>grupo-de-neurociencia-de-sistemas</x:v>
      </x:c>
      <x:c r="C6" s="42" t="str">
        <x:v>Grupo de Neurociencia de Sistemas</x:v>
      </x:c>
      <x:c r="D6" s="42" t="str">
        <x:v>Grupo de investigación</x:v>
      </x:c>
      <x:c r="E6" s="42" t="str"/>
      <x:c r="F6" s="42" t="str">
        <x:v>Camila Zold</x:v>
      </x:c>
      <x:c r="G6" s="42" t="str">
        <x:v>Actual</x:v>
      </x:c>
      <x:c r="H6" s="48" t="str">
        <x:v>Investigadora Asistente</x:v>
      </x:c>
      <x:c r="I6" s="48" t="str">
        <x:v>Neurofisiología del Aprendizaje</x:v>
      </x:c>
      <x:c r="J6" s="48" t="str"/>
      <x:c r="K6" s="48" t="str"/>
      <x:c r="L6" s="48" t="str">
        <x:v>https://ifibio-uba.conicet.gov.ar/labs/gns/</x:v>
      </x:c>
      <x:c r="M6" s="45" t="n">
        <x:v>46275</x:v>
      </x:c>
    </x:row>
    <x:row r="7" ht="21" customHeight="1">
      <x:c r="A7" s="42" t="str">
        <x:v>Grupos de investigación</x:v>
      </x:c>
      <x:c r="B7" s="42" t="str">
        <x:v>grupo-de-neurociencia-de-sistemas</x:v>
      </x:c>
      <x:c r="C7" s="42" t="str">
        <x:v>Grupo de Neurociencia de Sistemas</x:v>
      </x:c>
      <x:c r="D7" s="42" t="str">
        <x:v>Grupo de investigación</x:v>
      </x:c>
      <x:c r="E7" s="42" t="str"/>
      <x:c r="F7" s="42" t="str">
        <x:v>Candela Fagnani</x:v>
      </x:c>
      <x:c r="G7" s="42" t="str">
        <x:v>Actual</x:v>
      </x:c>
      <x:c r="H7" s="48" t="str">
        <x:v>Becaria de Maestría en Biologia Molecular Medica</x:v>
      </x:c>
      <x:c r="I7" s="48" t="str">
        <x:v>Fisiología de la Conducta Animal</x:v>
      </x:c>
      <x:c r="J7" s="48" t="str"/>
      <x:c r="K7" s="48" t="str"/>
      <x:c r="L7" s="48" t="str">
        <x:v>https://ifibio-uba.conicet.gov.ar/labs/gns/</x:v>
      </x:c>
      <x:c r="M7" s="45" t="n">
        <x:v>46275</x:v>
      </x:c>
    </x:row>
    <x:row r="8" ht="21" customHeight="1">
      <x:c r="A8" s="42" t="str">
        <x:v>Grupos de investigación</x:v>
      </x:c>
      <x:c r="B8" s="42" t="str">
        <x:v>grupo-de-neurociencia-de-sistemas</x:v>
      </x:c>
      <x:c r="C8" s="42" t="str">
        <x:v>Grupo de Neurociencia de Sistemas</x:v>
      </x:c>
      <x:c r="D8" s="42" t="str">
        <x:v>Grupo de investigación</x:v>
      </x:c>
      <x:c r="E8" s="42" t="str"/>
      <x:c r="F8" s="42" t="str">
        <x:v>Carlos Petrell Annan</x:v>
      </x:c>
      <x:c r="G8" s="42" t="str">
        <x:v>Actual</x:v>
      </x:c>
      <x:c r="H8" s="48" t="str">
        <x:v>Becario Doctoral - Conicet</x:v>
      </x:c>
      <x:c r="I8" s="48" t="str">
        <x:v>Fisiología de la Conducta Animal</x:v>
      </x:c>
      <x:c r="J8" s="48" t="str"/>
      <x:c r="K8" s="48" t="str"/>
      <x:c r="L8" s="48" t="str">
        <x:v>https://ifibio-uba.conicet.gov.ar/labs/gns/</x:v>
      </x:c>
      <x:c r="M8" s="45" t="n">
        <x:v>46275</x:v>
      </x:c>
    </x:row>
    <x:row r="9" ht="21" customHeight="1">
      <x:c r="A9" s="42" t="str">
        <x:v>Grupos de investigación</x:v>
      </x:c>
      <x:c r="B9" s="42" t="str">
        <x:v>grupo-de-neurociencia-de-sistemas</x:v>
      </x:c>
      <x:c r="C9" s="42" t="str">
        <x:v>Grupo de Neurociencia de Sistemas</x:v>
      </x:c>
      <x:c r="D9" s="42" t="str">
        <x:v>Grupo de investigación</x:v>
      </x:c>
      <x:c r="E9" s="42" t="str"/>
      <x:c r="F9" s="42" t="str">
        <x:v>Cecilia Tubert</x:v>
      </x:c>
      <x:c r="G9" s="42" t="str">
        <x:v>Actual</x:v>
      </x:c>
      <x:c r="H9" s="48" t="str">
        <x:v>Investigadora Asistente - Conicet</x:v>
      </x:c>
      <x:c r="I9" s="48" t="str">
        <x:v>Fisiología de Circuitos Neuronales</x:v>
      </x:c>
      <x:c r="J9" s="48" t="str"/>
      <x:c r="K9" s="48" t="str"/>
      <x:c r="L9" s="48" t="str">
        <x:v>https://ifibio-uba.conicet.gov.ar/labs/gns/</x:v>
      </x:c>
      <x:c r="M9" s="45" t="n">
        <x:v>46275</x:v>
      </x:c>
    </x:row>
    <x:row r="10" ht="21" customHeight="1">
      <x:c r="A10" s="42" t="str">
        <x:v>Grupos de investigación</x:v>
      </x:c>
      <x:c r="B10" s="42" t="str">
        <x:v>grupo-de-neurociencia-de-sistemas</x:v>
      </x:c>
      <x:c r="C10" s="42" t="str">
        <x:v>Grupo de Neurociencia de Sistemas</x:v>
      </x:c>
      <x:c r="D10" s="42" t="str">
        <x:v>Grupo de investigación</x:v>
      </x:c>
      <x:c r="E10" s="42" t="str"/>
      <x:c r="F10" s="42" t="str">
        <x:v>Diego Pafundo</x:v>
      </x:c>
      <x:c r="G10" s="42" t="str">
        <x:v>Actual</x:v>
      </x:c>
      <x:c r="H10" s="48" t="str">
        <x:v>Investigador Adjunto</x:v>
      </x:c>
      <x:c r="I10" s="48" t="str">
        <x:v>Bases Neuronales de la Cognición</x:v>
      </x:c>
      <x:c r="J10" s="48" t="str"/>
      <x:c r="K10" s="48" t="str"/>
      <x:c r="L10" s="48" t="str">
        <x:v>https://ifibio-uba.conicet.gov.ar/labs/gns/</x:v>
      </x:c>
      <x:c r="M10" s="45" t="n">
        <x:v>46275</x:v>
      </x:c>
    </x:row>
    <x:row r="11" ht="21" customHeight="1">
      <x:c r="A11" s="42" t="str">
        <x:v>Grupos de investigación</x:v>
      </x:c>
      <x:c r="B11" s="42" t="str">
        <x:v>grupo-de-neurociencia-de-sistemas</x:v>
      </x:c>
      <x:c r="C11" s="42" t="str">
        <x:v>Grupo de Neurociencia de Sistemas</x:v>
      </x:c>
      <x:c r="D11" s="42" t="str">
        <x:v>Grupo de investigación</x:v>
      </x:c>
      <x:c r="E11" s="42" t="str"/>
      <x:c r="F11" s="42" t="str">
        <x:v>Estefanía Bello</x:v>
      </x:c>
      <x:c r="G11" s="42" t="str">
        <x:v>Actual</x:v>
      </x:c>
      <x:c r="H11" s="48" t="str">
        <x:v>Investigadora Asistente - Conicet</x:v>
      </x:c>
      <x:c r="I11" s="48" t="str">
        <x:v>Fisiología de Circuitos Neuronales</x:v>
      </x:c>
      <x:c r="J11" s="48" t="str"/>
      <x:c r="K11" s="48" t="str"/>
      <x:c r="L11" s="48" t="str">
        <x:v>https://ifibio-uba.conicet.gov.ar/labs/gns/</x:v>
      </x:c>
      <x:c r="M11" s="45" t="n">
        <x:v>46275</x:v>
      </x:c>
    </x:row>
    <x:row r="12" ht="21" customHeight="1">
      <x:c r="A12" s="42" t="str">
        <x:v>Grupos de investigación</x:v>
      </x:c>
      <x:c r="B12" s="42" t="str">
        <x:v>grupo-de-neurociencia-de-sistemas</x:v>
      </x:c>
      <x:c r="C12" s="42" t="str">
        <x:v>Grupo de Neurociencia de Sistemas</x:v>
      </x:c>
      <x:c r="D12" s="42" t="str">
        <x:v>Grupo de investigación</x:v>
      </x:c>
      <x:c r="E12" s="42" t="str"/>
      <x:c r="F12" s="42" t="str">
        <x:v>Fernando Kasanetz</x:v>
      </x:c>
      <x:c r="G12" s="42" t="str">
        <x:v>Actual</x:v>
      </x:c>
      <x:c r="H12" s="48" t="str">
        <x:v>Investigador Adjunto</x:v>
      </x:c>
      <x:c r="I12" s="48" t="str">
        <x:v>Fisiología del Dolor</x:v>
      </x:c>
      <x:c r="J12" s="48" t="str"/>
      <x:c r="K12" s="48" t="str"/>
      <x:c r="L12" s="48" t="str">
        <x:v>https://ifibio-uba.conicet.gov.ar/labs/gns/</x:v>
      </x:c>
      <x:c r="M12" s="45" t="n">
        <x:v>46275</x:v>
      </x:c>
    </x:row>
    <x:row r="13" ht="21" customHeight="1">
      <x:c r="A13" s="42" t="str">
        <x:v>Grupos de investigación</x:v>
      </x:c>
      <x:c r="B13" s="42" t="str">
        <x:v>grupo-de-neurociencia-de-sistemas</x:v>
      </x:c>
      <x:c r="C13" s="42" t="str">
        <x:v>Grupo de Neurociencia de Sistemas</x:v>
      </x:c>
      <x:c r="D13" s="42" t="str">
        <x:v>Grupo de investigación</x:v>
      </x:c>
      <x:c r="E13" s="42" t="str"/>
      <x:c r="F13" s="42" t="str">
        <x:v>Florencia Vassallu</x:v>
      </x:c>
      <x:c r="G13" s="42" t="str">
        <x:v>Actual</x:v>
      </x:c>
      <x:c r="H13" s="48" t="str">
        <x:v>Becaria Doctoral - Foncyt</x:v>
      </x:c>
      <x:c r="I13" s="48" t="str">
        <x:v>Fisiopatología Neuronal</x:v>
      </x:c>
      <x:c r="J13" s="48" t="str"/>
      <x:c r="K13" s="48" t="str"/>
      <x:c r="L13" s="48" t="str">
        <x:v>https://ifibio-uba.conicet.gov.ar/labs/gns/</x:v>
      </x:c>
      <x:c r="M13" s="45" t="n">
        <x:v>46275</x:v>
      </x:c>
    </x:row>
    <x:row r="14" ht="21" customHeight="1">
      <x:c r="A14" s="42" t="str">
        <x:v>Grupos de investigación</x:v>
      </x:c>
      <x:c r="B14" s="42" t="str">
        <x:v>grupo-de-neurociencia-de-sistemas</x:v>
      </x:c>
      <x:c r="C14" s="42" t="str">
        <x:v>Grupo de Neurociencia de Sistemas</x:v>
      </x:c>
      <x:c r="D14" s="42" t="str">
        <x:v>Grupo de investigación</x:v>
      </x:c>
      <x:c r="E14" s="42" t="str"/>
      <x:c r="F14" s="42" t="str">
        <x:v>Gustavo Murer</x:v>
      </x:c>
      <x:c r="G14" s="42" t="str">
        <x:v>Actual</x:v>
      </x:c>
      <x:c r="H14" s="48" t="str">
        <x:v>Investigador Superior</x:v>
      </x:c>
      <x:c r="I14" s="48" t="str">
        <x:v>Fisiología de Circuitos Neuronales</x:v>
      </x:c>
      <x:c r="J14" s="48" t="str"/>
      <x:c r="K14" s="48" t="str"/>
      <x:c r="L14" s="48" t="str">
        <x:v>https://ifibio-uba.conicet.gov.ar/labs/gns/</x:v>
      </x:c>
      <x:c r="M14" s="45" t="n">
        <x:v>46275</x:v>
      </x:c>
    </x:row>
    <x:row r="15" ht="21" customHeight="1">
      <x:c r="A15" s="42" t="str">
        <x:v>Grupos de investigación</x:v>
      </x:c>
      <x:c r="B15" s="42" t="str">
        <x:v>grupo-de-neurociencia-de-sistemas</x:v>
      </x:c>
      <x:c r="C15" s="42" t="str">
        <x:v>Grupo de Neurociencia de Sistemas</x:v>
      </x:c>
      <x:c r="D15" s="42" t="str">
        <x:v>Grupo de investigación</x:v>
      </x:c>
      <x:c r="E15" s="42" t="str"/>
      <x:c r="F15" s="42" t="str">
        <x:v>Iván Álvarez Mendoza</x:v>
      </x:c>
      <x:c r="G15" s="42" t="str">
        <x:v>Actual</x:v>
      </x:c>
      <x:c r="H15" s="48" t="str">
        <x:v>Becario Doctoral - Foncyt</x:v>
      </x:c>
      <x:c r="I15" s="48" t="str">
        <x:v>Genética del Aprendizaje</x:v>
      </x:c>
      <x:c r="J15" s="48" t="str"/>
      <x:c r="K15" s="48" t="str"/>
      <x:c r="L15" s="48" t="str">
        <x:v>https://ifibio-uba.conicet.gov.ar/labs/gns/</x:v>
      </x:c>
      <x:c r="M15" s="45" t="n">
        <x:v>46275</x:v>
      </x:c>
    </x:row>
    <x:row r="16" ht="21" customHeight="1">
      <x:c r="A16" s="42" t="str">
        <x:v>Grupos de investigación</x:v>
      </x:c>
      <x:c r="B16" s="42" t="str">
        <x:v>grupo-de-neurociencia-de-sistemas</x:v>
      </x:c>
      <x:c r="C16" s="42" t="str">
        <x:v>Grupo de Neurociencia de Sistemas</x:v>
      </x:c>
      <x:c r="D16" s="42" t="str">
        <x:v>Grupo de investigación</x:v>
      </x:c>
      <x:c r="E16" s="42" t="str"/>
      <x:c r="F16" s="42" t="str">
        <x:v>Javier Fotti</x:v>
      </x:c>
      <x:c r="G16" s="42" t="str">
        <x:v>Actual</x:v>
      </x:c>
      <x:c r="H16" s="48" t="str">
        <x:v>Becario Doctoral - Foncyt</x:v>
      </x:c>
      <x:c r="I16" s="48" t="str">
        <x:v>Formación de Redes Neurales</x:v>
      </x:c>
      <x:c r="J16" s="48" t="str"/>
      <x:c r="K16" s="48" t="str"/>
      <x:c r="L16" s="48" t="str">
        <x:v>https://ifibio-uba.conicet.gov.ar/labs/gns/</x:v>
      </x:c>
      <x:c r="M16" s="45" t="n">
        <x:v>46275</x:v>
      </x:c>
    </x:row>
    <x:row r="17" ht="21" customHeight="1">
      <x:c r="A17" s="42" t="str">
        <x:v>Grupos de investigación</x:v>
      </x:c>
      <x:c r="B17" s="42" t="str">
        <x:v>grupo-de-neurociencia-de-sistemas</x:v>
      </x:c>
      <x:c r="C17" s="42" t="str">
        <x:v>Grupo de Neurociencia de Sistemas</x:v>
      </x:c>
      <x:c r="D17" s="42" t="str">
        <x:v>Grupo de investigación</x:v>
      </x:c>
      <x:c r="E17" s="42" t="str"/>
      <x:c r="F17" s="42" t="str">
        <x:v>Juan Belforte</x:v>
      </x:c>
      <x:c r="G17" s="42" t="str">
        <x:v>Actual</x:v>
      </x:c>
      <x:c r="H17" s="48" t="str">
        <x:v>Investigador Independiente - Conicet</x:v>
      </x:c>
      <x:c r="I17" s="48" t="str">
        <x:v>Fisiología de la Conducta Animal</x:v>
      </x:c>
      <x:c r="J17" s="48" t="str"/>
      <x:c r="K17" s="48" t="str"/>
      <x:c r="L17" s="48" t="str">
        <x:v>https://ifibio-uba.conicet.gov.ar/labs/gns/</x:v>
      </x:c>
      <x:c r="M17" s="45" t="n">
        <x:v>46275</x:v>
      </x:c>
    </x:row>
    <x:row r="18" ht="21" customHeight="1">
      <x:c r="A18" s="42" t="str">
        <x:v>Grupos de investigación</x:v>
      </x:c>
      <x:c r="B18" s="42" t="str">
        <x:v>grupo-de-neurociencia-de-sistemas</x:v>
      </x:c>
      <x:c r="C18" s="42" t="str">
        <x:v>Grupo de Neurociencia de Sistemas</x:v>
      </x:c>
      <x:c r="D18" s="42" t="str">
        <x:v>Grupo de investigación</x:v>
      </x:c>
      <x:c r="E18" s="42" t="str"/>
      <x:c r="F18" s="42" t="str">
        <x:v>Leslie Spring Valdivia Torres</x:v>
      </x:c>
      <x:c r="G18" s="42" t="str">
        <x:v>Actual</x:v>
      </x:c>
      <x:c r="H18" s="48" t="str">
        <x:v>Investigadora Asistente - Conicet</x:v>
      </x:c>
      <x:c r="I18" s="48" t="str">
        <x:v>Fisiología del Dolor</x:v>
      </x:c>
      <x:c r="J18" s="48" t="str"/>
      <x:c r="K18" s="48" t="str"/>
      <x:c r="L18" s="48" t="str">
        <x:v>https://ifibio-uba.conicet.gov.ar/labs/gns/</x:v>
      </x:c>
      <x:c r="M18" s="45" t="n">
        <x:v>46275</x:v>
      </x:c>
    </x:row>
    <x:row r="19" ht="21" customHeight="1">
      <x:c r="A19" s="42" t="str">
        <x:v>Grupos de investigación</x:v>
      </x:c>
      <x:c r="B19" s="42" t="str">
        <x:v>grupo-de-neurociencia-de-sistemas</x:v>
      </x:c>
      <x:c r="C19" s="42" t="str">
        <x:v>Grupo de Neurociencia de Sistemas</x:v>
      </x:c>
      <x:c r="D19" s="42" t="str">
        <x:v>Grupo de investigación</x:v>
      </x:c>
      <x:c r="E19" s="42" t="str"/>
      <x:c r="F19" s="42" t="str">
        <x:v>Lionel Muller Igaz</x:v>
      </x:c>
      <x:c r="G19" s="42" t="str">
        <x:v>Actual</x:v>
      </x:c>
      <x:c r="H19" s="48" t="str">
        <x:v>Investigador Independiente</x:v>
      </x:c>
      <x:c r="I19" s="48" t="str">
        <x:v>Fisiopatología Neuronal</x:v>
      </x:c>
      <x:c r="J19" s="48" t="str"/>
      <x:c r="K19" s="48" t="str"/>
      <x:c r="L19" s="48" t="str">
        <x:v>https://ifibio-uba.conicet.gov.ar/labs/gns/</x:v>
      </x:c>
      <x:c r="M19" s="45" t="n">
        <x:v>46275</x:v>
      </x:c>
    </x:row>
    <x:row r="20" ht="21" customHeight="1">
      <x:c r="A20" s="42" t="str">
        <x:v>Grupos de investigación</x:v>
      </x:c>
      <x:c r="B20" s="42" t="str">
        <x:v>grupo-de-neurociencia-de-sistemas</x:v>
      </x:c>
      <x:c r="C20" s="42" t="str">
        <x:v>Grupo de Neurociencia de Sistemas</x:v>
      </x:c>
      <x:c r="D20" s="42" t="str">
        <x:v>Grupo de investigación</x:v>
      </x:c>
      <x:c r="E20" s="42" t="str"/>
      <x:c r="F20" s="42" t="str">
        <x:v>Lorena Rela</x:v>
      </x:c>
      <x:c r="G20" s="42" t="str">
        <x:v>Actual</x:v>
      </x:c>
      <x:c r="H20" s="48" t="str">
        <x:v>Investigadora Independiente</x:v>
      </x:c>
      <x:c r="I20" s="48" t="str">
        <x:v>Formación de Redes Neurales</x:v>
      </x:c>
      <x:c r="J20" s="48" t="str"/>
      <x:c r="K20" s="48" t="str"/>
      <x:c r="L20" s="48" t="str">
        <x:v>https://ifibio-uba.conicet.gov.ar/labs/gns/</x:v>
      </x:c>
      <x:c r="M20" s="45" t="n">
        <x:v>46275</x:v>
      </x:c>
    </x:row>
    <x:row r="21" ht="21" customHeight="1">
      <x:c r="A21" s="42" t="str">
        <x:v>Grupos de investigación</x:v>
      </x:c>
      <x:c r="B21" s="42" t="str">
        <x:v>grupo-de-neurociencia-de-sistemas</x:v>
      </x:c>
      <x:c r="C21" s="42" t="str">
        <x:v>Grupo de Neurociencia de Sistemas</x:v>
      </x:c>
      <x:c r="D21" s="42" t="str">
        <x:v>Grupo de investigación</x:v>
      </x:c>
      <x:c r="E21" s="42" t="str"/>
      <x:c r="F21" s="42" t="str">
        <x:v>María Jesús Trujillo</x:v>
      </x:c>
      <x:c r="G21" s="42" t="str">
        <x:v>Actual</x:v>
      </x:c>
      <x:c r="H21" s="48" t="str">
        <x:v>Becaria Doctoral - Conicet</x:v>
      </x:c>
      <x:c r="I21" s="48" t="str">
        <x:v>Fisiología del Dolor</x:v>
      </x:c>
      <x:c r="J21" s="48" t="str"/>
      <x:c r="K21" s="48" t="str"/>
      <x:c r="L21" s="48" t="str">
        <x:v>https://ifibio-uba.conicet.gov.ar/labs/gns/</x:v>
      </x:c>
      <x:c r="M21" s="45" t="n">
        <x:v>46275</x:v>
      </x:c>
    </x:row>
    <x:row r="22" ht="21" customHeight="1">
      <x:c r="A22" s="42" t="str">
        <x:v>Grupos de investigación</x:v>
      </x:c>
      <x:c r="B22" s="42" t="str">
        <x:v>grupo-de-neurociencia-de-sistemas</x:v>
      </x:c>
      <x:c r="C22" s="42" t="str">
        <x:v>Grupo de Neurociencia de Sistemas</x:v>
      </x:c>
      <x:c r="D22" s="42" t="str">
        <x:v>Grupo de investigación</x:v>
      </x:c>
      <x:c r="E22" s="42" t="str"/>
      <x:c r="F22" s="42" t="str">
        <x:v>Martina Gómez Acosta</x:v>
      </x:c>
      <x:c r="G22" s="42" t="str">
        <x:v>Actual</x:v>
      </x:c>
      <x:c r="H22" s="48" t="str">
        <x:v>Becaria Doctoral - Conicet</x:v>
      </x:c>
      <x:c r="I22" s="48" t="str">
        <x:v>Fisiología de la Conducta Animal</x:v>
      </x:c>
      <x:c r="J22" s="48" t="str"/>
      <x:c r="K22" s="48" t="str"/>
      <x:c r="L22" s="48" t="str">
        <x:v>https://ifibio-uba.conicet.gov.ar/labs/gns/</x:v>
      </x:c>
      <x:c r="M22" s="45" t="n">
        <x:v>46275</x:v>
      </x:c>
    </x:row>
    <x:row r="23" ht="21" customHeight="1">
      <x:c r="A23" s="42" t="str">
        <x:v>Grupos de investigación</x:v>
      </x:c>
      <x:c r="B23" s="42" t="str">
        <x:v>grupo-de-neurociencia-de-sistemas</x:v>
      </x:c>
      <x:c r="C23" s="42" t="str">
        <x:v>Grupo de Neurociencia de Sistemas</x:v>
      </x:c>
      <x:c r="D23" s="42" t="str">
        <x:v>Grupo de investigación</x:v>
      </x:c>
      <x:c r="E23" s="42" t="str"/>
      <x:c r="F23" s="42" t="str">
        <x:v>Maximiliano Katz</x:v>
      </x:c>
      <x:c r="G23" s="42" t="str">
        <x:v>Actual</x:v>
      </x:c>
      <x:c r="H23" s="48" t="str">
        <x:v>Investigador Adjunto</x:v>
      </x:c>
      <x:c r="I23" s="48" t="str">
        <x:v>Genética de la Comunicación entre Órganos</x:v>
      </x:c>
      <x:c r="J23" s="48" t="str"/>
      <x:c r="K23" s="48" t="str"/>
      <x:c r="L23" s="48" t="str">
        <x:v>https://ifibio-uba.conicet.gov.ar/labs/gns/</x:v>
      </x:c>
      <x:c r="M23" s="45" t="n">
        <x:v>46275</x:v>
      </x:c>
    </x:row>
    <x:row r="24" ht="21" customHeight="1">
      <x:c r="A24" s="42" t="str">
        <x:v>Grupos de investigación</x:v>
      </x:c>
      <x:c r="B24" s="42" t="str">
        <x:v>grupo-de-neurociencia-de-sistemas</x:v>
      </x:c>
      <x:c r="C24" s="42" t="str">
        <x:v>Grupo de Neurociencia de Sistemas</x:v>
      </x:c>
      <x:c r="D24" s="42" t="str">
        <x:v>Grupo de investigación</x:v>
      </x:c>
      <x:c r="E24" s="42" t="str"/>
      <x:c r="F24" s="42" t="str">
        <x:v>Nicolás Fulginiti</x:v>
      </x:c>
      <x:c r="G24" s="42" t="str">
        <x:v>Actual</x:v>
      </x:c>
      <x:c r="H24" s="48" t="str">
        <x:v>Becario Doctoral</x:v>
      </x:c>
      <x:c r="I24" s="48" t="str">
        <x:v>Bases Neuronales de la Cognición</x:v>
      </x:c>
      <x:c r="J24" s="48" t="str"/>
      <x:c r="K24" s="48" t="str"/>
      <x:c r="L24" s="48" t="str">
        <x:v>https://ifibio-uba.conicet.gov.ar/labs/gns/</x:v>
      </x:c>
      <x:c r="M24" s="45" t="n">
        <x:v>46275</x:v>
      </x:c>
    </x:row>
    <x:row r="25" ht="21" customHeight="1">
      <x:c r="A25" s="42" t="str">
        <x:v>Grupos de investigación</x:v>
      </x:c>
      <x:c r="B25" s="42" t="str">
        <x:v>grupo-de-neurociencia-de-sistemas</x:v>
      </x:c>
      <x:c r="C25" s="42" t="str">
        <x:v>Grupo de Neurociencia de Sistemas</x:v>
      </x:c>
      <x:c r="D25" s="42" t="str">
        <x:v>Grupo de investigación</x:v>
      </x:c>
      <x:c r="E25" s="42" t="str"/>
      <x:c r="F25" s="42" t="str">
        <x:v>Rafael Pagani</x:v>
      </x:c>
      <x:c r="G25" s="42" t="str">
        <x:v>Actual</x:v>
      </x:c>
      <x:c r="H25" s="48" t="str">
        <x:v>Investigador Independiente</x:v>
      </x:c>
      <x:c r="I25" s="48" t="str">
        <x:v>Genética del Aprendizaje</x:v>
      </x:c>
      <x:c r="J25" s="48" t="str"/>
      <x:c r="K25" s="48" t="str"/>
      <x:c r="L25" s="48" t="str">
        <x:v>https://ifibio-uba.conicet.gov.ar/labs/gns/</x:v>
      </x:c>
      <x:c r="M25" s="45" t="n">
        <x:v>46275</x:v>
      </x:c>
    </x:row>
    <x:row r="26" ht="21" customHeight="1">
      <x:c r="A26" s="42" t="str">
        <x:v>Grupos de investigación</x:v>
      </x:c>
      <x:c r="B26" s="42" t="str">
        <x:v>grupo-de-neurociencia-de-sistemas</x:v>
      </x:c>
      <x:c r="C26" s="42" t="str">
        <x:v>Grupo de Neurociencia de Sistemas</x:v>
      </x:c>
      <x:c r="D26" s="42" t="str">
        <x:v>Grupo de investigación</x:v>
      </x:c>
      <x:c r="E26" s="42" t="str"/>
      <x:c r="F26" s="42" t="str">
        <x:v>Lisandro Díaz Devicenzi</x:v>
      </x:c>
      <x:c r="G26" s="42" t="str">
        <x:v>Conflicto: actual y exintegrante</x:v>
      </x:c>
      <x:c r="H26" s="48" t="str">
        <x:v>Becario Doctoral - Foncyt</x:v>
      </x:c>
      <x:c r="I26" s="48" t="str">
        <x:v>Fisiología de Circuitos Neuronales</x:v>
      </x:c>
      <x:c r="J26" s="48" t="str"/>
      <x:c r="K26" s="48" t="str">
        <x:v>Estado contradictorio en el sitio oficial</x:v>
      </x:c>
      <x:c r="L26" s="48" t="str">
        <x:v>https://ifibio-uba.conicet.gov.ar/labs/gns/</x:v>
      </x:c>
      <x:c r="M26" s="45" t="n">
        <x:v>46275</x:v>
      </x:c>
    </x:row>
    <x:row r="27" ht="21" customHeight="1">
      <x:c r="A27" s="42" t="str">
        <x:v>Grupos de investigación</x:v>
      </x:c>
      <x:c r="B27" s="42" t="str">
        <x:v>grupo-de-neurociencia-de-sistemas</x:v>
      </x:c>
      <x:c r="C27" s="42" t="str">
        <x:v>Grupo de Neurociencia de Sistemas</x:v>
      </x:c>
      <x:c r="D27" s="42" t="str">
        <x:v>Grupo de investigación</x:v>
      </x:c>
      <x:c r="E27" s="42" t="str"/>
      <x:c r="F27" s="42" t="str">
        <x:v>Agostina Stahl</x:v>
      </x:c>
      <x:c r="G27" s="42" t="str">
        <x:v>Exintegrante</x:v>
      </x:c>
      <x:c r="H27" s="48" t="str">
        <x:v>Becaria Doctoral</x:v>
      </x:c>
      <x:c r="I27" s="48" t="str">
        <x:v>Fisiología de Circuitos Neuronales</x:v>
      </x:c>
      <x:c r="J27" s="48" t="str"/>
      <x:c r="K27" s="48" t="str"/>
      <x:c r="L27" s="48" t="str">
        <x:v>https://ifibio-uba.conicet.gov.ar/labs/gns/</x:v>
      </x:c>
      <x:c r="M27" s="45" t="n">
        <x:v>46275</x:v>
      </x:c>
    </x:row>
    <x:row r="28" ht="21" customHeight="1">
      <x:c r="A28" s="42" t="str">
        <x:v>Grupos de investigación</x:v>
      </x:c>
      <x:c r="B28" s="42" t="str">
        <x:v>grupo-de-neurociencia-de-sistemas</x:v>
      </x:c>
      <x:c r="C28" s="42" t="str">
        <x:v>Grupo de Neurociencia de Sistemas</x:v>
      </x:c>
      <x:c r="D28" s="42" t="str">
        <x:v>Grupo de investigación</x:v>
      </x:c>
      <x:c r="E28" s="42" t="str"/>
      <x:c r="F28" s="42" t="str">
        <x:v>Agustín Solano</x:v>
      </x:c>
      <x:c r="G28" s="42" t="str">
        <x:v>Exintegrante</x:v>
      </x:c>
      <x:c r="H28" s="48" t="str">
        <x:v>Becario Post-doctoral</x:v>
      </x:c>
      <x:c r="I28" s="48" t="str">
        <x:v>Fisiología de la Acción</x:v>
      </x:c>
      <x:c r="J28" s="48" t="str"/>
      <x:c r="K28" s="48" t="str"/>
      <x:c r="L28" s="48" t="str">
        <x:v>https://ifibio-uba.conicet.gov.ar/labs/gns/</x:v>
      </x:c>
      <x:c r="M28" s="45" t="n">
        <x:v>46275</x:v>
      </x:c>
    </x:row>
    <x:row r="29" ht="21" customHeight="1">
      <x:c r="A29" s="42" t="str">
        <x:v>Grupos de investigación</x:v>
      </x:c>
      <x:c r="B29" s="42" t="str">
        <x:v>grupo-de-neurociencia-de-sistemas</x:v>
      </x:c>
      <x:c r="C29" s="42" t="str">
        <x:v>Grupo de Neurociencia de Sistemas</x:v>
      </x:c>
      <x:c r="D29" s="42" t="str">
        <x:v>Grupo de investigación</x:v>
      </x:c>
      <x:c r="E29" s="42" t="str"/>
      <x:c r="F29" s="42" t="str">
        <x:v>Álvaro Deleglise</x:v>
      </x:c>
      <x:c r="G29" s="42" t="str">
        <x:v>Exintegrante</x:v>
      </x:c>
      <x:c r="H29" s="48" t="str">
        <x:v>Becario Doctoral</x:v>
      </x:c>
      <x:c r="I29" s="48" t="str">
        <x:v>Fisiología de la Acción</x:v>
      </x:c>
      <x:c r="J29" s="48" t="str"/>
      <x:c r="K29" s="48" t="str"/>
      <x:c r="L29" s="48" t="str">
        <x:v>https://ifibio-uba.conicet.gov.ar/labs/gns/</x:v>
      </x:c>
      <x:c r="M29" s="45" t="n">
        <x:v>46275</x:v>
      </x:c>
    </x:row>
    <x:row r="30" ht="21" customHeight="1">
      <x:c r="A30" s="42" t="str">
        <x:v>Grupos de investigación</x:v>
      </x:c>
      <x:c r="B30" s="42" t="str">
        <x:v>grupo-de-neurociencia-de-sistemas</x:v>
      </x:c>
      <x:c r="C30" s="42" t="str">
        <x:v>Grupo de Neurociencia de Sistemas</x:v>
      </x:c>
      <x:c r="D30" s="42" t="str">
        <x:v>Grupo de investigación</x:v>
      </x:c>
      <x:c r="E30" s="42" t="str"/>
      <x:c r="F30" s="42" t="str">
        <x:v>Camila Coll</x:v>
      </x:c>
      <x:c r="G30" s="42" t="str">
        <x:v>Exintegrante</x:v>
      </x:c>
      <x:c r="H30" s="48" t="str">
        <x:v>Becaria Doctoral</x:v>
      </x:c>
      <x:c r="I30" s="48" t="str">
        <x:v>Fisiología de Circuitos Neuronales</x:v>
      </x:c>
      <x:c r="J30" s="48" t="str"/>
      <x:c r="K30" s="48" t="str"/>
      <x:c r="L30" s="48" t="str">
        <x:v>https://ifibio-uba.conicet.gov.ar/labs/gns/</x:v>
      </x:c>
      <x:c r="M30" s="45" t="n">
        <x:v>46275</x:v>
      </x:c>
    </x:row>
    <x:row r="31" ht="21" customHeight="1">
      <x:c r="A31" s="42" t="str">
        <x:v>Grupos de investigación</x:v>
      </x:c>
      <x:c r="B31" s="42" t="str">
        <x:v>grupo-de-neurociencia-de-sistemas</x:v>
      </x:c>
      <x:c r="C31" s="42" t="str">
        <x:v>Grupo de Neurociencia de Sistemas</x:v>
      </x:c>
      <x:c r="D31" s="42" t="str">
        <x:v>Grupo de investigación</x:v>
      </x:c>
      <x:c r="E31" s="42" t="str"/>
      <x:c r="F31" s="42" t="str">
        <x:v>Cecilia Martinez</x:v>
      </x:c>
      <x:c r="G31" s="42" t="str">
        <x:v>Exintegrante</x:v>
      </x:c>
      <x:c r="H31" s="48" t="str">
        <x:v>Investigadora Adjunta</x:v>
      </x:c>
      <x:c r="I31" s="48" t="str"/>
      <x:c r="J31" s="48" t="str"/>
      <x:c r="K31" s="48" t="str"/>
      <x:c r="L31" s="48" t="str">
        <x:v>https://ifibio-uba.conicet.gov.ar/labs/gns/</x:v>
      </x:c>
      <x:c r="M31" s="45" t="n">
        <x:v>46275</x:v>
      </x:c>
    </x:row>
    <x:row r="32" ht="21" customHeight="1">
      <x:c r="A32" s="42" t="str">
        <x:v>Grupos de investigación</x:v>
      </x:c>
      <x:c r="B32" s="42" t="str">
        <x:v>grupo-de-neurociencia-de-sistemas</x:v>
      </x:c>
      <x:c r="C32" s="42" t="str">
        <x:v>Grupo de Neurociencia de Sistemas</x:v>
      </x:c>
      <x:c r="D32" s="42" t="str">
        <x:v>Grupo de investigación</x:v>
      </x:c>
      <x:c r="E32" s="42" t="str"/>
      <x:c r="F32" s="42" t="str">
        <x:v>Constanza Ilarraz</x:v>
      </x:c>
      <x:c r="G32" s="42" t="str">
        <x:v>Exintegrante</x:v>
      </x:c>
      <x:c r="H32" s="48" t="str">
        <x:v>Becaria Doctoral</x:v>
      </x:c>
      <x:c r="I32" s="48" t="str">
        <x:v>Fisiología del Dolor</x:v>
      </x:c>
      <x:c r="J32" s="48" t="str"/>
      <x:c r="K32" s="48" t="str"/>
      <x:c r="L32" s="48" t="str">
        <x:v>https://ifibio-uba.conicet.gov.ar/labs/gns/</x:v>
      </x:c>
      <x:c r="M32" s="45" t="n">
        <x:v>46275</x:v>
      </x:c>
    </x:row>
    <x:row r="33" ht="21" customHeight="1">
      <x:c r="A33" s="42" t="str">
        <x:v>Grupos de investigación</x:v>
      </x:c>
      <x:c r="B33" s="42" t="str">
        <x:v>grupo-de-neurociencia-de-sistemas</x:v>
      </x:c>
      <x:c r="C33" s="42" t="str">
        <x:v>Grupo de Neurociencia de Sistemas</x:v>
      </x:c>
      <x:c r="D33" s="42" t="str">
        <x:v>Grupo de investigación</x:v>
      </x:c>
      <x:c r="E33" s="42" t="str"/>
      <x:c r="F33" s="42" t="str">
        <x:v>Félix Fares Taie</x:v>
      </x:c>
      <x:c r="G33" s="42" t="str">
        <x:v>Exintegrante</x:v>
      </x:c>
      <x:c r="H33" s="48" t="str">
        <x:v>Becario Doctoral</x:v>
      </x:c>
      <x:c r="I33" s="48" t="str">
        <x:v>Formación de Redes Neurales</x:v>
      </x:c>
      <x:c r="J33" s="48" t="str"/>
      <x:c r="K33" s="48" t="str"/>
      <x:c r="L33" s="48" t="str">
        <x:v>https://ifibio-uba.conicet.gov.ar/labs/gns/</x:v>
      </x:c>
      <x:c r="M33" s="45" t="n">
        <x:v>46275</x:v>
      </x:c>
    </x:row>
    <x:row r="34" ht="21" customHeight="1">
      <x:c r="A34" s="42" t="str">
        <x:v>Grupos de investigación</x:v>
      </x:c>
      <x:c r="B34" s="42" t="str">
        <x:v>grupo-de-neurociencia-de-sistemas</x:v>
      </x:c>
      <x:c r="C34" s="42" t="str">
        <x:v>Grupo de Neurociencia de Sistemas</x:v>
      </x:c>
      <x:c r="D34" s="42" t="str">
        <x:v>Grupo de investigación</x:v>
      </x:c>
      <x:c r="E34" s="42" t="str"/>
      <x:c r="F34" s="42" t="str">
        <x:v>Gabriela Nieva</x:v>
      </x:c>
      <x:c r="G34" s="42" t="str">
        <x:v>Exintegrante</x:v>
      </x:c>
      <x:c r="H34" s="48" t="str">
        <x:v>Becaria Doctoral</x:v>
      </x:c>
      <x:c r="I34" s="48" t="str">
        <x:v>Fisiopatología Neuronal</x:v>
      </x:c>
      <x:c r="J34" s="48" t="str"/>
      <x:c r="K34" s="48" t="str"/>
      <x:c r="L34" s="48" t="str">
        <x:v>https://ifibio-uba.conicet.gov.ar/labs/gns/</x:v>
      </x:c>
      <x:c r="M34" s="45" t="n">
        <x:v>46275</x:v>
      </x:c>
    </x:row>
    <x:row r="35" ht="21" customHeight="1">
      <x:c r="A35" s="42" t="str">
        <x:v>Grupos de investigación</x:v>
      </x:c>
      <x:c r="B35" s="42" t="str">
        <x:v>grupo-de-neurociencia-de-sistemas</x:v>
      </x:c>
      <x:c r="C35" s="42" t="str">
        <x:v>Grupo de Neurociencia de Sistemas</x:v>
      </x:c>
      <x:c r="D35" s="42" t="str">
        <x:v>Grupo de investigación</x:v>
      </x:c>
      <x:c r="E35" s="42" t="str"/>
      <x:c r="F35" s="42" t="str">
        <x:v>Guillermina Griffa</x:v>
      </x:c>
      <x:c r="G35" s="42" t="str">
        <x:v>Exintegrante</x:v>
      </x:c>
      <x:c r="H35" s="48" t="str">
        <x:v>Becaria Doctoral</x:v>
      </x:c>
      <x:c r="I35" s="48" t="str">
        <x:v>Fisiología de la Acción</x:v>
      </x:c>
      <x:c r="J35" s="48" t="str"/>
      <x:c r="K35" s="48" t="str"/>
      <x:c r="L35" s="48" t="str">
        <x:v>https://ifibio-uba.conicet.gov.ar/labs/gns/</x:v>
      </x:c>
      <x:c r="M35" s="45" t="n">
        <x:v>46275</x:v>
      </x:c>
    </x:row>
    <x:row r="36" ht="21" customHeight="1">
      <x:c r="A36" s="42" t="str">
        <x:v>Grupos de investigación</x:v>
      </x:c>
      <x:c r="B36" s="42" t="str">
        <x:v>grupo-de-neurociencia-de-sistemas</x:v>
      </x:c>
      <x:c r="C36" s="42" t="str">
        <x:v>Grupo de Neurociencia de Sistemas</x:v>
      </x:c>
      <x:c r="D36" s="42" t="str">
        <x:v>Grupo de investigación</x:v>
      </x:c>
      <x:c r="E36" s="42" t="str"/>
      <x:c r="F36" s="42" t="str">
        <x:v>Javier González Sanabria</x:v>
      </x:c>
      <x:c r="G36" s="42" t="str">
        <x:v>Exintegrante</x:v>
      </x:c>
      <x:c r="H36" s="48" t="str">
        <x:v>Becario Doctoral</x:v>
      </x:c>
      <x:c r="I36" s="48" t="str">
        <x:v>Fisiología de la Conducta Animal</x:v>
      </x:c>
      <x:c r="J36" s="48" t="str"/>
      <x:c r="K36" s="48" t="str"/>
      <x:c r="L36" s="48" t="str">
        <x:v>https://ifibio-uba.conicet.gov.ar/labs/gns/</x:v>
      </x:c>
      <x:c r="M36" s="45" t="n">
        <x:v>46275</x:v>
      </x:c>
    </x:row>
    <x:row r="37" ht="21" customHeight="1">
      <x:c r="A37" s="42" t="str">
        <x:v>Grupos de investigación</x:v>
      </x:c>
      <x:c r="B37" s="42" t="str">
        <x:v>grupo-de-neurociencia-de-sistemas</x:v>
      </x:c>
      <x:c r="C37" s="42" t="str">
        <x:v>Grupo de Neurociencia de Sistemas</x:v>
      </x:c>
      <x:c r="D37" s="42" t="str">
        <x:v>Grupo de investigación</x:v>
      </x:c>
      <x:c r="E37" s="42" t="str"/>
      <x:c r="F37" s="42" t="str">
        <x:v>Juan Martín Uehara</x:v>
      </x:c>
      <x:c r="G37" s="42" t="str">
        <x:v>Exintegrante</x:v>
      </x:c>
      <x:c r="H37" s="48" t="str">
        <x:v>Becario Doctoral</x:v>
      </x:c>
      <x:c r="I37" s="48" t="str">
        <x:v>Fisiología de la Conducta Animal</x:v>
      </x:c>
      <x:c r="J37" s="48" t="str"/>
      <x:c r="K37" s="48" t="str"/>
      <x:c r="L37" s="48" t="str">
        <x:v>https://ifibio-uba.conicet.gov.ar/labs/gns/</x:v>
      </x:c>
      <x:c r="M37" s="45" t="n">
        <x:v>46275</x:v>
      </x:c>
    </x:row>
    <x:row r="38" ht="21" customHeight="1">
      <x:c r="A38" s="42" t="str">
        <x:v>Grupos de investigación</x:v>
      </x:c>
      <x:c r="B38" s="42" t="str">
        <x:v>grupo-de-neurociencia-de-sistemas</x:v>
      </x:c>
      <x:c r="C38" s="42" t="str">
        <x:v>Grupo de Neurociencia de Sistemas</x:v>
      </x:c>
      <x:c r="D38" s="42" t="str">
        <x:v>Grupo de investigación</x:v>
      </x:c>
      <x:c r="E38" s="42" t="str"/>
      <x:c r="F38" s="42" t="str">
        <x:v>Luis Riquelme</x:v>
      </x:c>
      <x:c r="G38" s="42" t="str">
        <x:v>Exintegrante</x:v>
      </x:c>
      <x:c r="H38" s="48" t="str">
        <x:v>Investigador UBA</x:v>
      </x:c>
      <x:c r="I38" s="48" t="str"/>
      <x:c r="J38" s="48" t="str"/>
      <x:c r="K38" s="48" t="str"/>
      <x:c r="L38" s="48" t="str">
        <x:v>https://ifibio-uba.conicet.gov.ar/labs/gns/</x:v>
      </x:c>
      <x:c r="M38" s="45" t="n">
        <x:v>46275</x:v>
      </x:c>
    </x:row>
    <x:row r="39" ht="21" customHeight="1">
      <x:c r="A39" s="42" t="str">
        <x:v>Grupos de investigación</x:v>
      </x:c>
      <x:c r="B39" s="42" t="str">
        <x:v>grupo-de-neurociencia-de-sistemas</x:v>
      </x:c>
      <x:c r="C39" s="42" t="str">
        <x:v>Grupo de Neurociencia de Sistemas</x:v>
      </x:c>
      <x:c r="D39" s="42" t="str">
        <x:v>Grupo de investigación</x:v>
      </x:c>
      <x:c r="E39" s="42" t="str"/>
      <x:c r="F39" s="42" t="str">
        <x:v>Marcos Coletti</x:v>
      </x:c>
      <x:c r="G39" s="42" t="str">
        <x:v>Exintegrante</x:v>
      </x:c>
      <x:c r="H39" s="48" t="str">
        <x:v>Becario Doctoral</x:v>
      </x:c>
      <x:c r="I39" s="48" t="str">
        <x:v>Fisiología de Circuitos Neuronales</x:v>
      </x:c>
      <x:c r="J39" s="48" t="str"/>
      <x:c r="K39" s="48" t="str"/>
      <x:c r="L39" s="48" t="str">
        <x:v>https://ifibio-uba.conicet.gov.ar/labs/gns/</x:v>
      </x:c>
      <x:c r="M39" s="45" t="n">
        <x:v>46275</x:v>
      </x:c>
    </x:row>
    <x:row r="40" ht="21" customHeight="1">
      <x:c r="A40" s="42" t="str">
        <x:v>Grupos de investigación</x:v>
      </x:c>
      <x:c r="B40" s="42" t="str">
        <x:v>grupo-de-neurociencia-de-sistemas</x:v>
      </x:c>
      <x:c r="C40" s="42" t="str">
        <x:v>Grupo de Neurociencia de Sistemas</x:v>
      </x:c>
      <x:c r="D40" s="42" t="str">
        <x:v>Grupo de investigación</x:v>
      </x:c>
      <x:c r="E40" s="42" t="str"/>
      <x:c r="F40" s="42" t="str">
        <x:v>María Florencia Santos</x:v>
      </x:c>
      <x:c r="G40" s="42" t="str">
        <x:v>Exintegrante</x:v>
      </x:c>
      <x:c r="H40" s="48" t="str">
        <x:v>Becaria Doctoral</x:v>
      </x:c>
      <x:c r="I40" s="48" t="str">
        <x:v>Neurofisiología del Aprendizaje</x:v>
      </x:c>
      <x:c r="J40" s="48" t="str"/>
      <x:c r="K40" s="48" t="str"/>
      <x:c r="L40" s="48" t="str">
        <x:v>https://ifibio-uba.conicet.gov.ar/labs/gns/</x:v>
      </x:c>
      <x:c r="M40" s="45" t="n">
        <x:v>46275</x:v>
      </x:c>
    </x:row>
    <x:row r="41" ht="21" customHeight="1">
      <x:c r="A41" s="42" t="str">
        <x:v>Grupos de investigación</x:v>
      </x:c>
      <x:c r="B41" s="42" t="str">
        <x:v>grupo-de-neurociencia-de-sistemas</x:v>
      </x:c>
      <x:c r="C41" s="42" t="str">
        <x:v>Grupo de Neurociencia de Sistemas</x:v>
      </x:c>
      <x:c r="D41" s="42" t="str">
        <x:v>Grupo de investigación</x:v>
      </x:c>
      <x:c r="E41" s="42" t="str"/>
      <x:c r="F41" s="42" t="str">
        <x:v>Mariano Belluscio</x:v>
      </x:c>
      <x:c r="G41" s="42" t="str">
        <x:v>Exintegrante</x:v>
      </x:c>
      <x:c r="H41" s="48" t="str">
        <x:v>Investigador Independiente</x:v>
      </x:c>
      <x:c r="I41" s="48" t="str">
        <x:v>Bases Neuronales del Comportamiento</x:v>
      </x:c>
      <x:c r="J41" s="48" t="str"/>
      <x:c r="K41" s="48" t="str"/>
      <x:c r="L41" s="48" t="str">
        <x:v>https://ifibio-uba.conicet.gov.ar/labs/gns/</x:v>
      </x:c>
      <x:c r="M41" s="45" t="n">
        <x:v>46275</x:v>
      </x:c>
    </x:row>
    <x:row r="42" ht="21" customHeight="1">
      <x:c r="A42" s="42" t="str">
        <x:v>Grupos de investigación</x:v>
      </x:c>
      <x:c r="B42" s="42" t="str">
        <x:v>grupo-de-neurociencia-de-sistemas</x:v>
      </x:c>
      <x:c r="C42" s="42" t="str">
        <x:v>Grupo de Neurociencia de Sistemas</x:v>
      </x:c>
      <x:c r="D42" s="42" t="str">
        <x:v>Grupo de investigación</x:v>
      </x:c>
      <x:c r="E42" s="42" t="str"/>
      <x:c r="F42" s="42" t="str">
        <x:v>Santiago Merlo</x:v>
      </x:c>
      <x:c r="G42" s="42" t="str">
        <x:v>Exintegrante</x:v>
      </x:c>
      <x:c r="H42" s="48" t="str">
        <x:v>Becario Doctoral</x:v>
      </x:c>
      <x:c r="I42" s="48" t="str">
        <x:v>Bases Neuronales del Comportamiento</x:v>
      </x:c>
      <x:c r="J42" s="48" t="str"/>
      <x:c r="K42" s="48" t="str"/>
      <x:c r="L42" s="48" t="str">
        <x:v>https://ifibio-uba.conicet.gov.ar/labs/gns/</x:v>
      </x:c>
      <x:c r="M42" s="45" t="n">
        <x:v>46275</x:v>
      </x:c>
    </x:row>
    <x:row r="43" ht="21" customHeight="1">
      <x:c r="A43" s="42" t="str">
        <x:v>Grupos de investigación</x:v>
      </x:c>
      <x:c r="B43" s="42" t="str">
        <x:v>grupo-de-neurociencia-de-sistemas</x:v>
      </x:c>
      <x:c r="C43" s="42" t="str">
        <x:v>Grupo de Neurociencia de Sistemas</x:v>
      </x:c>
      <x:c r="D43" s="42" t="str">
        <x:v>Grupo de investigación</x:v>
      </x:c>
      <x:c r="E43" s="42" t="str"/>
      <x:c r="F43" s="42" t="str">
        <x:v>Valeria Della Maggiore</x:v>
      </x:c>
      <x:c r="G43" s="42" t="str">
        <x:v>Exintegrante</x:v>
      </x:c>
      <x:c r="H43" s="48" t="str">
        <x:v>Investigadora Principal</x:v>
      </x:c>
      <x:c r="I43" s="48" t="str">
        <x:v>Fisiología de la Acción</x:v>
      </x:c>
      <x:c r="J43" s="48" t="str"/>
      <x:c r="K43" s="48" t="str"/>
      <x:c r="L43" s="48" t="str">
        <x:v>https://ifibio-uba.conicet.gov.ar/labs/gns/</x:v>
      </x:c>
      <x:c r="M43" s="45" t="n">
        <x:v>46275</x:v>
      </x:c>
    </x:row>
    <x:row r="44" ht="21" customHeight="1">
      <x:c r="A44" s="42" t="str">
        <x:v>Grupos de investigación</x:v>
      </x:c>
      <x:c r="B44" s="42" t="str">
        <x:v>grupo-de-neurociencia-de-sistemas</x:v>
      </x:c>
      <x:c r="C44" s="42" t="str">
        <x:v>Grupo de Neurociencia de Sistemas</x:v>
      </x:c>
      <x:c r="D44" s="42" t="str">
        <x:v>Grupo de investigación</x:v>
      </x:c>
      <x:c r="E44" s="42" t="str"/>
      <x:c r="F44" s="42" t="str">
        <x:v>Viviana Bumaschny</x:v>
      </x:c>
      <x:c r="G44" s="42" t="str">
        <x:v>Exintegrante</x:v>
      </x:c>
      <x:c r="H44" s="48" t="str">
        <x:v>Investigadora Adjunta</x:v>
      </x:c>
      <x:c r="I44" s="48" t="str">
        <x:v>Neuroendocrinología Molecular</x:v>
      </x:c>
      <x:c r="J44" s="48" t="str"/>
      <x:c r="K44" s="48" t="str"/>
      <x:c r="L44" s="48" t="str">
        <x:v>https://ifibio-uba.conicet.gov.ar/labs/gns/</x:v>
      </x:c>
      <x:c r="M44" s="45" t="n">
        <x:v>46275</x:v>
      </x:c>
    </x:row>
    <x:row r="45" ht="21" customHeight="1">
      <x:c r="A45" s="42" t="str">
        <x:v>Grupos de investigación</x:v>
      </x:c>
      <x:c r="B45" s="42" t="str">
        <x:v>grupo-de-pez-cebra</x:v>
      </x:c>
      <x:c r="C45" s="42" t="str">
        <x:v>Grupo de Pez Cebra</x:v>
      </x:c>
      <x:c r="D45" s="42" t="str">
        <x:v>Grupo de investigación</x:v>
      </x:c>
      <x:c r="E45" s="42" t="str"/>
      <x:c r="F45" s="42" t="str">
        <x:v>Leandro Rocco</x:v>
      </x:c>
      <x:c r="G45" s="42" t="str">
        <x:v>Actual</x:v>
      </x:c>
      <x:c r="H45" s="48" t="str">
        <x:v>Auxiliar docente</x:v>
      </x:c>
      <x:c r="I45" s="48" t="str"/>
      <x:c r="J45" s="48" t="str"/>
      <x:c r="K45" s="48" t="str"/>
      <x:c r="L45" s="48" t="str">
        <x:v>https://ifibio-uba.conicet.gov.ar/labs/pez-cebra/</x:v>
      </x:c>
      <x:c r="M45" s="45" t="n">
        <x:v>46275</x:v>
      </x:c>
    </x:row>
    <x:row r="46" ht="21" customHeight="1">
      <x:c r="A46" s="42" t="str">
        <x:v>Grupos de investigación</x:v>
      </x:c>
      <x:c r="B46" s="42" t="str">
        <x:v>grupo-de-pez-cebra</x:v>
      </x:c>
      <x:c r="C46" s="42" t="str">
        <x:v>Grupo de Pez Cebra</x:v>
      </x:c>
      <x:c r="D46" s="42" t="str">
        <x:v>Grupo de investigación</x:v>
      </x:c>
      <x:c r="E46" s="42" t="str"/>
      <x:c r="F46" s="42" t="str">
        <x:v>Paula Faillace</x:v>
      </x:c>
      <x:c r="G46" s="42" t="str">
        <x:v>Actual</x:v>
      </x:c>
      <x:c r="H46" s="48" t="str">
        <x:v>Investigadora Independiente</x:v>
      </x:c>
      <x:c r="I46" s="48" t="str">
        <x:v>Neurobiología de la Retina</x:v>
      </x:c>
      <x:c r="J46" s="48" t="str"/>
      <x:c r="K46" s="48" t="str"/>
      <x:c r="L46" s="48" t="str">
        <x:v>https://ifibio-uba.conicet.gov.ar/labs/pez-cebra/</x:v>
      </x:c>
      <x:c r="M46" s="45" t="n">
        <x:v>46275</x:v>
      </x:c>
    </x:row>
    <x:row r="47" ht="21" customHeight="1">
      <x:c r="A47" s="42" t="str">
        <x:v>Grupos de investigación</x:v>
      </x:c>
      <x:c r="B47" s="42" t="str">
        <x:v>grupo-de-pez-cebra</x:v>
      </x:c>
      <x:c r="C47" s="42" t="str">
        <x:v>Grupo de Pez Cebra</x:v>
      </x:c>
      <x:c r="D47" s="42" t="str">
        <x:v>Grupo de investigación</x:v>
      </x:c>
      <x:c r="E47" s="42" t="str"/>
      <x:c r="F47" s="42" t="str">
        <x:v>Ramón Bernabeu</x:v>
      </x:c>
      <x:c r="G47" s="42" t="str">
        <x:v>Actual</x:v>
      </x:c>
      <x:c r="H47" s="48" t="str">
        <x:v>Investigado Independiente - Conicet</x:v>
      </x:c>
      <x:c r="I47" s="48" t="str">
        <x:v>Neurobiología de las Adicciones</x:v>
      </x:c>
      <x:c r="J47" s="48" t="str"/>
      <x:c r="K47" s="48" t="str"/>
      <x:c r="L47" s="48" t="str">
        <x:v>https://ifibio-uba.conicet.gov.ar/labs/pez-cebra/</x:v>
      </x:c>
      <x:c r="M47" s="45" t="n">
        <x:v>46275</x:v>
      </x:c>
    </x:row>
    <x:row r="48" ht="21" customHeight="1">
      <x:c r="A48" s="42" t="str">
        <x:v>Grupos de investigación</x:v>
      </x:c>
      <x:c r="B48" s="42" t="str">
        <x:v>grupo-de-pez-cebra</x:v>
      </x:c>
      <x:c r="C48" s="42" t="str">
        <x:v>Grupo de Pez Cebra</x:v>
      </x:c>
      <x:c r="D48" s="42" t="str">
        <x:v>Grupo de investigación</x:v>
      </x:c>
      <x:c r="E48" s="42" t="str"/>
      <x:c r="F48" s="42" t="str">
        <x:v>Joaquín Ortiz</x:v>
      </x:c>
      <x:c r="G48" s="42" t="str">
        <x:v>Exintegrante</x:v>
      </x:c>
      <x:c r="H48" s="48" t="str">
        <x:v>Becario Doctoral</x:v>
      </x:c>
      <x:c r="I48" s="48" t="str"/>
      <x:c r="J48" s="48" t="str"/>
      <x:c r="K48" s="48" t="str"/>
      <x:c r="L48" s="48" t="str">
        <x:v>https://ifibio-uba.conicet.gov.ar/labs/pez-cebra/</x:v>
      </x:c>
      <x:c r="M48" s="45" t="n">
        <x:v>46275</x:v>
      </x:c>
    </x:row>
    <x:row r="49" ht="21" customHeight="1">
      <x:c r="A49" s="42" t="str">
        <x:v>Laboratorios</x:v>
      </x:c>
      <x:c r="B49" s="42" t="str">
        <x:v>laboratorio-de-biologia-de-la-reproduccion</x:v>
      </x:c>
      <x:c r="C49" s="42" t="str">
        <x:v>Laboratorio de Biología de la Reproducción</x:v>
      </x:c>
      <x:c r="D49" s="42" t="str">
        <x:v>Laboratorio</x:v>
      </x:c>
      <x:c r="E49" s="42" t="str">
        <x:v>Alicia Damiano</x:v>
      </x:c>
      <x:c r="F49" s="42" t="str">
        <x:v>Alicia Damiano</x:v>
      </x:c>
      <x:c r="G49" s="42" t="str">
        <x:v>Actual</x:v>
      </x:c>
      <x:c r="H49" s="48" t="str">
        <x:v>Investigadora Principal</x:v>
      </x:c>
      <x:c r="I49" s="48" t="str">
        <x:v>Biología de la Reproducción</x:v>
      </x:c>
      <x:c r="J49" s="48" t="str"/>
      <x:c r="K49" s="48" t="str"/>
      <x:c r="L49" s="48" t="str">
        <x:v>https://ifibio-uba.conicet.gov.ar/labs/damiano/</x:v>
      </x:c>
      <x:c r="M49" s="45" t="n">
        <x:v>46275</x:v>
      </x:c>
    </x:row>
    <x:row r="50" ht="21" customHeight="1">
      <x:c r="A50" s="42" t="str">
        <x:v>Laboratorios</x:v>
      </x:c>
      <x:c r="B50" s="42" t="str">
        <x:v>laboratorio-de-biologia-de-la-reproduccion</x:v>
      </x:c>
      <x:c r="C50" s="42" t="str">
        <x:v>Laboratorio de Biología de la Reproducción</x:v>
      </x:c>
      <x:c r="D50" s="42" t="str">
        <x:v>Laboratorio</x:v>
      </x:c>
      <x:c r="E50" s="42" t="str">
        <x:v>Alicia Damiano</x:v>
      </x:c>
      <x:c r="F50" s="42" t="str">
        <x:v>Matías Sierra</x:v>
      </x:c>
      <x:c r="G50" s="42" t="str">
        <x:v>Actual</x:v>
      </x:c>
      <x:c r="H50" s="48" t="str">
        <x:v>Becario Doctoral - Conicet</x:v>
      </x:c>
      <x:c r="I50" s="48" t="str"/>
      <x:c r="J50" s="48" t="str"/>
      <x:c r="K50" s="48" t="str"/>
      <x:c r="L50" s="48" t="str">
        <x:v>https://ifibio-uba.conicet.gov.ar/labs/damiano/</x:v>
      </x:c>
      <x:c r="M50" s="45" t="n">
        <x:v>46275</x:v>
      </x:c>
    </x:row>
    <x:row r="51" ht="21" customHeight="1">
      <x:c r="A51" s="42" t="str">
        <x:v>Laboratorios</x:v>
      </x:c>
      <x:c r="B51" s="42" t="str">
        <x:v>laboratorio-de-biologia-de-la-reproduccion</x:v>
      </x:c>
      <x:c r="C51" s="42" t="str">
        <x:v>Laboratorio de Biología de la Reproducción</x:v>
      </x:c>
      <x:c r="D51" s="42" t="str">
        <x:v>Laboratorio</x:v>
      </x:c>
      <x:c r="E51" s="42" t="str">
        <x:v>Alicia Damiano</x:v>
      </x:c>
      <x:c r="F51" s="42" t="str">
        <x:v>Nazarena Fernandez</x:v>
      </x:c>
      <x:c r="G51" s="42" t="str">
        <x:v>Actual</x:v>
      </x:c>
      <x:c r="H51" s="48" t="str">
        <x:v>Becaria Doctoral - Conicet</x:v>
      </x:c>
      <x:c r="I51" s="48" t="str"/>
      <x:c r="J51" s="48" t="str"/>
      <x:c r="K51" s="48" t="str"/>
      <x:c r="L51" s="48" t="str">
        <x:v>https://ifibio-uba.conicet.gov.ar/labs/damiano/</x:v>
      </x:c>
      <x:c r="M51" s="45" t="n">
        <x:v>46275</x:v>
      </x:c>
    </x:row>
    <x:row r="52" ht="21" customHeight="1">
      <x:c r="A52" s="42" t="str">
        <x:v>Laboratorios</x:v>
      </x:c>
      <x:c r="B52" s="42" t="str">
        <x:v>laboratorio-de-biologia-de-la-reproduccion</x:v>
      </x:c>
      <x:c r="C52" s="42" t="str">
        <x:v>Laboratorio de Biología de la Reproducción</x:v>
      </x:c>
      <x:c r="D52" s="42" t="str">
        <x:v>Laboratorio</x:v>
      </x:c>
      <x:c r="E52" s="42" t="str">
        <x:v>Alicia Damiano</x:v>
      </x:c>
      <x:c r="F52" s="42" t="str">
        <x:v>Julieta Reppetti</x:v>
      </x:c>
      <x:c r="G52" s="42" t="str">
        <x:v>Exintegrante</x:v>
      </x:c>
      <x:c r="H52" s="48" t="str">
        <x:v>Becaria Doctoral</x:v>
      </x:c>
      <x:c r="I52" s="48" t="str"/>
      <x:c r="J52" s="48" t="str"/>
      <x:c r="K52" s="48" t="str"/>
      <x:c r="L52" s="48" t="str">
        <x:v>https://ifibio-uba.conicet.gov.ar/labs/damiano/</x:v>
      </x:c>
      <x:c r="M52" s="45" t="n">
        <x:v>46275</x:v>
      </x:c>
    </x:row>
    <x:row r="53" ht="21" customHeight="1">
      <x:c r="A53" s="42" t="str">
        <x:v>Laboratorios</x:v>
      </x:c>
      <x:c r="B53" s="42" t="str">
        <x:v>laboratorio-de-biologia-de-la-reproduccion</x:v>
      </x:c>
      <x:c r="C53" s="42" t="str">
        <x:v>Laboratorio de Biología de la Reproducción</x:v>
      </x:c>
      <x:c r="D53" s="42" t="str">
        <x:v>Laboratorio</x:v>
      </x:c>
      <x:c r="E53" s="42" t="str">
        <x:v>Alicia Damiano</x:v>
      </x:c>
      <x:c r="F53" s="42" t="str">
        <x:v>Natalia Szpilbarg</x:v>
      </x:c>
      <x:c r="G53" s="42" t="str">
        <x:v>Exintegrante</x:v>
      </x:c>
      <x:c r="H53" s="48" t="str">
        <x:v>Investigadora Asistente</x:v>
      </x:c>
      <x:c r="I53" s="48" t="str"/>
      <x:c r="J53" s="48" t="str"/>
      <x:c r="K53" s="48" t="str"/>
      <x:c r="L53" s="48" t="str">
        <x:v>https://ifibio-uba.conicet.gov.ar/labs/damiano/</x:v>
      </x:c>
      <x:c r="M53" s="45" t="n">
        <x:v>46275</x:v>
      </x:c>
    </x:row>
    <x:row r="54" ht="21" customHeight="1">
      <x:c r="A54" s="42" t="str">
        <x:v>Laboratorios</x:v>
      </x:c>
      <x:c r="B54" s="42" t="str">
        <x:v>laboratorio-de-biomembranas</x:v>
      </x:c>
      <x:c r="C54" s="42" t="str">
        <x:v>Laboratorio de Biomembranas</x:v>
      </x:c>
      <x:c r="D54" s="42" t="str">
        <x:v>Laboratorio</x:v>
      </x:c>
      <x:c r="E54" s="42" t="str">
        <x:v>Claudia Capurro</x:v>
      </x:c>
      <x:c r="F54" s="42" t="str">
        <x:v>Ana Celi Castillo</x:v>
      </x:c>
      <x:c r="G54" s="42" t="str">
        <x:v>Actual</x:v>
      </x:c>
      <x:c r="H54" s="48" t="str">
        <x:v>Becaria Doctoral - Conicet</x:v>
      </x:c>
      <x:c r="I54" s="48" t="str">
        <x:v>Trastornos del Equilibrio Ácido Base</x:v>
      </x:c>
      <x:c r="J54" s="48" t="str"/>
      <x:c r="K54" s="48" t="str"/>
      <x:c r="L54" s="48" t="str">
        <x:v>https://ifibio-uba.conicet.gov.ar/labs/biomembranas/</x:v>
      </x:c>
      <x:c r="M54" s="45" t="n">
        <x:v>46275</x:v>
      </x:c>
    </x:row>
    <x:row r="55" ht="21" customHeight="1">
      <x:c r="A55" s="42" t="str">
        <x:v>Laboratorios</x:v>
      </x:c>
      <x:c r="B55" s="42" t="str">
        <x:v>laboratorio-de-biomembranas</x:v>
      </x:c>
      <x:c r="C55" s="42" t="str">
        <x:v>Laboratorio de Biomembranas</x:v>
      </x:c>
      <x:c r="D55" s="42" t="str">
        <x:v>Laboratorio</x:v>
      </x:c>
      <x:c r="E55" s="42" t="str">
        <x:v>Claudia Capurro</x:v>
      </x:c>
      <x:c r="F55" s="42" t="str">
        <x:v>Claudia Capurro</x:v>
      </x:c>
      <x:c r="G55" s="42" t="str">
        <x:v>Actual</x:v>
      </x:c>
      <x:c r="H55" s="48" t="str">
        <x:v>Investigadora Principal</x:v>
      </x:c>
      <x:c r="I55" s="48" t="str">
        <x:v>Fisiología y Fisiopatología de las Acuaporinas</x:v>
      </x:c>
      <x:c r="J55" s="48" t="str"/>
      <x:c r="K55" s="48" t="str"/>
      <x:c r="L55" s="48" t="str">
        <x:v>https://ifibio-uba.conicet.gov.ar/labs/biomembranas/</x:v>
      </x:c>
      <x:c r="M55" s="45" t="n">
        <x:v>46275</x:v>
      </x:c>
    </x:row>
    <x:row r="56" ht="21" customHeight="1">
      <x:c r="A56" s="42" t="str">
        <x:v>Laboratorios</x:v>
      </x:c>
      <x:c r="B56" s="42" t="str">
        <x:v>laboratorio-de-biomembranas</x:v>
      </x:c>
      <x:c r="C56" s="42" t="str">
        <x:v>Laboratorio de Biomembranas</x:v>
      </x:c>
      <x:c r="D56" s="42" t="str">
        <x:v>Laboratorio</x:v>
      </x:c>
      <x:c r="E56" s="42" t="str">
        <x:v>Claudia Capurro</x:v>
      </x:c>
      <x:c r="F56" s="42" t="str">
        <x:v>Daiana Gioia</x:v>
      </x:c>
      <x:c r="G56" s="42" t="str">
        <x:v>Actual</x:v>
      </x:c>
      <x:c r="H56" s="48" t="str">
        <x:v>Becaria Doctoral - Foncyt</x:v>
      </x:c>
      <x:c r="I56" s="48" t="str">
        <x:v>Biofísica de Aquaporinas</x:v>
      </x:c>
      <x:c r="J56" s="48" t="str"/>
      <x:c r="K56" s="48" t="str"/>
      <x:c r="L56" s="48" t="str">
        <x:v>https://ifibio-uba.conicet.gov.ar/labs/biomembranas/</x:v>
      </x:c>
      <x:c r="M56" s="45" t="n">
        <x:v>46275</x:v>
      </x:c>
    </x:row>
    <x:row r="57" ht="21" customHeight="1">
      <x:c r="A57" s="42" t="str">
        <x:v>Laboratorios</x:v>
      </x:c>
      <x:c r="B57" s="42" t="str">
        <x:v>laboratorio-de-biomembranas</x:v>
      </x:c>
      <x:c r="C57" s="42" t="str">
        <x:v>Laboratorio de Biomembranas</x:v>
      </x:c>
      <x:c r="D57" s="42" t="str">
        <x:v>Laboratorio</x:v>
      </x:c>
      <x:c r="E57" s="42" t="str">
        <x:v>Claudia Capurro</x:v>
      </x:c>
      <x:c r="F57" s="42" t="str">
        <x:v>Gisela Di Giusto</x:v>
      </x:c>
      <x:c r="G57" s="42" t="str">
        <x:v>Actual</x:v>
      </x:c>
      <x:c r="H57" s="48" t="str">
        <x:v>Investigadora Adjunta</x:v>
      </x:c>
      <x:c r="I57" s="48" t="str">
        <x:v>Migración Celular</x:v>
      </x:c>
      <x:c r="J57" s="48" t="str"/>
      <x:c r="K57" s="48" t="str"/>
      <x:c r="L57" s="48" t="str">
        <x:v>https://ifibio-uba.conicet.gov.ar/labs/biomembranas/</x:v>
      </x:c>
      <x:c r="M57" s="45" t="n">
        <x:v>46275</x:v>
      </x:c>
    </x:row>
    <x:row r="58" ht="21" customHeight="1">
      <x:c r="A58" s="42" t="str">
        <x:v>Laboratorios</x:v>
      </x:c>
      <x:c r="B58" s="42" t="str">
        <x:v>laboratorio-de-biomembranas</x:v>
      </x:c>
      <x:c r="C58" s="42" t="str">
        <x:v>Laboratorio de Biomembranas</x:v>
      </x:c>
      <x:c r="D58" s="42" t="str">
        <x:v>Laboratorio</x:v>
      </x:c>
      <x:c r="E58" s="42" t="str">
        <x:v>Claudia Capurro</x:v>
      </x:c>
      <x:c r="F58" s="42" t="str">
        <x:v>Juan Sterba</x:v>
      </x:c>
      <x:c r="G58" s="42" t="str">
        <x:v>Actual</x:v>
      </x:c>
      <x:c r="H58" s="48" t="str">
        <x:v>Becario de Grado - UBA</x:v>
      </x:c>
      <x:c r="I58" s="48" t="str"/>
      <x:c r="J58" s="48" t="str"/>
      <x:c r="K58" s="48" t="str"/>
      <x:c r="L58" s="48" t="str">
        <x:v>https://ifibio-uba.conicet.gov.ar/labs/biomembranas/</x:v>
      </x:c>
      <x:c r="M58" s="45" t="n">
        <x:v>46275</x:v>
      </x:c>
    </x:row>
    <x:row r="59" ht="21" customHeight="1">
      <x:c r="A59" s="42" t="str">
        <x:v>Laboratorios</x:v>
      </x:c>
      <x:c r="B59" s="42" t="str">
        <x:v>laboratorio-de-biomembranas</x:v>
      </x:c>
      <x:c r="C59" s="42" t="str">
        <x:v>Laboratorio de Biomembranas</x:v>
      </x:c>
      <x:c r="D59" s="42" t="str">
        <x:v>Laboratorio</x:v>
      </x:c>
      <x:c r="E59" s="42" t="str">
        <x:v>Claudia Capurro</x:v>
      </x:c>
      <x:c r="F59" s="42" t="str">
        <x:v>Nora Martinez</x:v>
      </x:c>
      <x:c r="G59" s="42" t="str">
        <x:v>Actual</x:v>
      </x:c>
      <x:c r="H59" s="48" t="str">
        <x:v>Investigadora Adjunta</x:v>
      </x:c>
      <x:c r="I59" s="48" t="str"/>
      <x:c r="J59" s="48" t="str"/>
      <x:c r="K59" s="48" t="str"/>
      <x:c r="L59" s="48" t="str">
        <x:v>https://ifibio-uba.conicet.gov.ar/labs/biomembranas/</x:v>
      </x:c>
      <x:c r="M59" s="45" t="n">
        <x:v>46275</x:v>
      </x:c>
    </x:row>
    <x:row r="60" ht="21" customHeight="1">
      <x:c r="A60" s="42" t="str">
        <x:v>Laboratorios</x:v>
      </x:c>
      <x:c r="B60" s="42" t="str">
        <x:v>laboratorio-de-biomembranas</x:v>
      </x:c>
      <x:c r="C60" s="42" t="str">
        <x:v>Laboratorio de Biomembranas</x:v>
      </x:c>
      <x:c r="D60" s="42" t="str">
        <x:v>Laboratorio</x:v>
      </x:c>
      <x:c r="E60" s="42" t="str">
        <x:v>Claudia Capurro</x:v>
      </x:c>
      <x:c r="F60" s="42" t="str">
        <x:v>Roxana Toriano</x:v>
      </x:c>
      <x:c r="G60" s="42" t="str">
        <x:v>Actual</x:v>
      </x:c>
      <x:c r="H60" s="48" t="str">
        <x:v>Investigadora Adjunta</x:v>
      </x:c>
      <x:c r="I60" s="48" t="str">
        <x:v>Modelado Molecular y Diseño de Drogas</x:v>
      </x:c>
      <x:c r="J60" s="48" t="str"/>
      <x:c r="K60" s="48" t="str"/>
      <x:c r="L60" s="48" t="str">
        <x:v>https://ifibio-uba.conicet.gov.ar/labs/biomembranas/</x:v>
      </x:c>
      <x:c r="M60" s="45" t="n">
        <x:v>46275</x:v>
      </x:c>
    </x:row>
    <x:row r="61" ht="21" customHeight="1">
      <x:c r="A61" s="42" t="str">
        <x:v>Laboratorios</x:v>
      </x:c>
      <x:c r="B61" s="42" t="str">
        <x:v>laboratorio-de-biomembranas</x:v>
      </x:c>
      <x:c r="C61" s="42" t="str">
        <x:v>Laboratorio de Biomembranas</x:v>
      </x:c>
      <x:c r="D61" s="42" t="str">
        <x:v>Laboratorio</x:v>
      </x:c>
      <x:c r="E61" s="42" t="str">
        <x:v>Claudia Capurro</x:v>
      </x:c>
      <x:c r="F61" s="42" t="str">
        <x:v>Tomás Molina Ponce</x:v>
      </x:c>
      <x:c r="G61" s="42" t="str">
        <x:v>Actual</x:v>
      </x:c>
      <x:c r="H61" s="48" t="str">
        <x:v>Becario de Grado - UBA</x:v>
      </x:c>
      <x:c r="I61" s="48" t="str">
        <x:v>Biofísica de Aquaporinas</x:v>
      </x:c>
      <x:c r="J61" s="48" t="str"/>
      <x:c r="K61" s="48" t="str"/>
      <x:c r="L61" s="48" t="str">
        <x:v>https://ifibio-uba.conicet.gov.ar/labs/biomembranas/</x:v>
      </x:c>
      <x:c r="M61" s="45" t="n">
        <x:v>46275</x:v>
      </x:c>
    </x:row>
    <x:row r="62" ht="21" customHeight="1">
      <x:c r="A62" s="42" t="str">
        <x:v>Laboratorios</x:v>
      </x:c>
      <x:c r="B62" s="42" t="str">
        <x:v>laboratorio-de-biomembranas</x:v>
      </x:c>
      <x:c r="C62" s="42" t="str">
        <x:v>Laboratorio de Biomembranas</x:v>
      </x:c>
      <x:c r="D62" s="42" t="str">
        <x:v>Laboratorio</x:v>
      </x:c>
      <x:c r="E62" s="42" t="str">
        <x:v>Claudia Capurro</x:v>
      </x:c>
      <x:c r="F62" s="42" t="str">
        <x:v>Valeria Rivarola</x:v>
      </x:c>
      <x:c r="G62" s="42" t="str">
        <x:v>Actual</x:v>
      </x:c>
      <x:c r="H62" s="48" t="str">
        <x:v>Investigadora Adjunta</x:v>
      </x:c>
      <x:c r="I62" s="48" t="str">
        <x:v>Trastornos del Equilibrio Ácido Base</x:v>
      </x:c>
      <x:c r="J62" s="48" t="str"/>
      <x:c r="K62" s="48" t="str"/>
      <x:c r="L62" s="48" t="str">
        <x:v>https://ifibio-uba.conicet.gov.ar/labs/biomembranas/</x:v>
      </x:c>
      <x:c r="M62" s="45" t="n">
        <x:v>46275</x:v>
      </x:c>
    </x:row>
    <x:row r="63" ht="21" customHeight="1">
      <x:c r="A63" s="42" t="str">
        <x:v>Laboratorios</x:v>
      </x:c>
      <x:c r="B63" s="42" t="str">
        <x:v>laboratorio-de-biomembranas</x:v>
      </x:c>
      <x:c r="C63" s="42" t="str">
        <x:v>Laboratorio de Biomembranas</x:v>
      </x:c>
      <x:c r="D63" s="42" t="str">
        <x:v>Laboratorio</x:v>
      </x:c>
      <x:c r="E63" s="42" t="str">
        <x:v>Claudia Capurro</x:v>
      </x:c>
      <x:c r="F63" s="42" t="str">
        <x:v>Vanina Netti</x:v>
      </x:c>
      <x:c r="G63" s="42" t="str">
        <x:v>Actual</x:v>
      </x:c>
      <x:c r="H63" s="48" t="str">
        <x:v>Investigadora Asistente</x:v>
      </x:c>
      <x:c r="I63" s="48" t="str">
        <x:v>Biofísica Epitelial y Placentaria</x:v>
      </x:c>
      <x:c r="J63" s="48" t="str"/>
      <x:c r="K63" s="48" t="str"/>
      <x:c r="L63" s="48" t="str">
        <x:v>https://ifibio-uba.conicet.gov.ar/labs/biomembranas/</x:v>
      </x:c>
      <x:c r="M63" s="45" t="n">
        <x:v>46275</x:v>
      </x:c>
    </x:row>
    <x:row r="64" ht="21" customHeight="1">
      <x:c r="A64" s="42" t="str">
        <x:v>Laboratorios</x:v>
      </x:c>
      <x:c r="B64" s="42" t="str">
        <x:v>laboratorio-de-biomembranas</x:v>
      </x:c>
      <x:c r="C64" s="42" t="str">
        <x:v>Laboratorio de Biomembranas</x:v>
      </x:c>
      <x:c r="D64" s="42" t="str">
        <x:v>Laboratorio</x:v>
      </x:c>
      <x:c r="E64" s="42" t="str">
        <x:v>Claudia Capurro</x:v>
      </x:c>
      <x:c r="F64" s="42" t="str">
        <x:v>Nicolás Cutrera</x:v>
      </x:c>
      <x:c r="G64" s="42" t="str">
        <x:v>Exintegrante</x:v>
      </x:c>
      <x:c r="H64" s="48" t="str">
        <x:v>Becario Doctoral</x:v>
      </x:c>
      <x:c r="I64" s="48" t="str">
        <x:v>Fisiología y Fisiopatología de las Acuaporinas</x:v>
      </x:c>
      <x:c r="J64" s="48" t="str"/>
      <x:c r="K64" s="48" t="str"/>
      <x:c r="L64" s="48" t="str">
        <x:v>https://ifibio-uba.conicet.gov.ar/labs/biomembranas/</x:v>
      </x:c>
      <x:c r="M64" s="45" t="n">
        <x:v>46275</x:v>
      </x:c>
    </x:row>
    <x:row r="65" ht="21" customHeight="1">
      <x:c r="A65" s="42" t="str">
        <x:v>Laboratorios</x:v>
      </x:c>
      <x:c r="B65" s="42" t="str">
        <x:v>laboratorio-de-biomembranas</x:v>
      </x:c>
      <x:c r="C65" s="42" t="str">
        <x:v>Laboratorio de Biomembranas</x:v>
      </x:c>
      <x:c r="D65" s="42" t="str">
        <x:v>Laboratorio</x:v>
      </x:c>
      <x:c r="E65" s="42" t="str">
        <x:v>Claudia Capurro</x:v>
      </x:c>
      <x:c r="F65" s="42" t="str">
        <x:v>Paula Ford</x:v>
      </x:c>
      <x:c r="G65" s="42" t="str">
        <x:v>Exintegrante</x:v>
      </x:c>
      <x:c r="H65" s="48" t="str">
        <x:v>Investigadora Independiente</x:v>
      </x:c>
      <x:c r="I65" s="48" t="str">
        <x:v>Biofísica de Aquaporinas</x:v>
      </x:c>
      <x:c r="J65" s="48" t="str"/>
      <x:c r="K65" s="48" t="str"/>
      <x:c r="L65" s="48" t="str">
        <x:v>https://ifibio-uba.conicet.gov.ar/labs/biomembranas/</x:v>
      </x:c>
      <x:c r="M65" s="45" t="n">
        <x:v>46275</x:v>
      </x:c>
    </x:row>
    <x:row r="66" ht="21" customHeight="1">
      <x:c r="A66" s="42" t="str">
        <x:v>Laboratorios</x:v>
      </x:c>
      <x:c r="B66" s="42" t="str">
        <x:v>laboratorio-de-fisiologia-renal</x:v>
      </x:c>
      <x:c r="C66" s="42" t="str">
        <x:v>Laboratorio de Fisiología Renal</x:v>
      </x:c>
      <x:c r="D66" s="42" t="str">
        <x:v>Laboratorio</x:v>
      </x:c>
      <x:c r="E66" s="42" t="str">
        <x:v>Claudia Silberstein</x:v>
      </x:c>
      <x:c r="F66" s="42" t="str">
        <x:v>Claudia Silberstein</x:v>
      </x:c>
      <x:c r="G66" s="42" t="str">
        <x:v>Actual</x:v>
      </x:c>
      <x:c r="H66" s="48" t="str">
        <x:v>Investigadora UBA</x:v>
      </x:c>
      <x:c r="I66" s="48" t="str"/>
      <x:c r="J66" s="48" t="str"/>
      <x:c r="K66" s="48" t="str"/>
      <x:c r="L66" s="48" t="str">
        <x:v>https://ifibio-uba.conicet.gov.ar/labs/silberstein/</x:v>
      </x:c>
      <x:c r="M66" s="45" t="n">
        <x:v>46275</x:v>
      </x:c>
    </x:row>
    <x:row r="67" ht="21" customHeight="1">
      <x:c r="A67" s="42" t="str">
        <x:v>Laboratorios</x:v>
      </x:c>
      <x:c r="B67" s="42" t="str">
        <x:v>laboratorio-de-fisiologia-renal</x:v>
      </x:c>
      <x:c r="C67" s="42" t="str">
        <x:v>Laboratorio de Fisiología Renal</x:v>
      </x:c>
      <x:c r="D67" s="42" t="str">
        <x:v>Laboratorio</x:v>
      </x:c>
      <x:c r="E67" s="42" t="str">
        <x:v>Claudia Silberstein</x:v>
      </x:c>
      <x:c r="F67" s="42" t="str">
        <x:v>Fernando Ibarra</x:v>
      </x:c>
      <x:c r="G67" s="42" t="str">
        <x:v>Actual</x:v>
      </x:c>
      <x:c r="H67" s="48" t="str">
        <x:v>Investigador UBA</x:v>
      </x:c>
      <x:c r="I67" s="48" t="str"/>
      <x:c r="J67" s="48" t="str"/>
      <x:c r="K67" s="48" t="str"/>
      <x:c r="L67" s="48" t="str">
        <x:v>https://ifibio-uba.conicet.gov.ar/labs/silberstein/</x:v>
      </x:c>
      <x:c r="M67" s="45" t="n">
        <x:v>46275</x:v>
      </x:c>
    </x:row>
    <x:row r="68" ht="21" customHeight="1">
      <x:c r="A68" s="42" t="str">
        <x:v>Laboratorios</x:v>
      </x:c>
      <x:c r="B68" s="42" t="str">
        <x:v>laboratorio-de-fisiologia-renal</x:v>
      </x:c>
      <x:c r="C68" s="42" t="str">
        <x:v>Laboratorio de Fisiología Renal</x:v>
      </x:c>
      <x:c r="D68" s="42" t="str">
        <x:v>Laboratorio</x:v>
      </x:c>
      <x:c r="E68" s="42" t="str">
        <x:v>Claudia Silberstein</x:v>
      </x:c>
      <x:c r="F68" s="42" t="str">
        <x:v>Pilar Jove</x:v>
      </x:c>
      <x:c r="G68" s="42" t="str">
        <x:v>Actual</x:v>
      </x:c>
      <x:c r="H68" s="48" t="str">
        <x:v>Becaria de Grado - UBA</x:v>
      </x:c>
      <x:c r="I68" s="48" t="str"/>
      <x:c r="J68" s="48" t="str"/>
      <x:c r="K68" s="48" t="str"/>
      <x:c r="L68" s="48" t="str">
        <x:v>https://ifibio-uba.conicet.gov.ar/labs/silberstein/</x:v>
      </x:c>
      <x:c r="M68" s="45" t="n">
        <x:v>46275</x:v>
      </x:c>
    </x:row>
    <x:row r="69" ht="21" customHeight="1">
      <x:c r="A69" s="42" t="str">
        <x:v>Laboratorios</x:v>
      </x:c>
      <x:c r="B69" s="42" t="str">
        <x:v>laboratorio-de-fisiologia-renal</x:v>
      </x:c>
      <x:c r="C69" s="42" t="str">
        <x:v>Laboratorio de Fisiología Renal</x:v>
      </x:c>
      <x:c r="D69" s="42" t="str">
        <x:v>Laboratorio</x:v>
      </x:c>
      <x:c r="E69" s="42" t="str">
        <x:v>Claudia Silberstein</x:v>
      </x:c>
      <x:c r="F69" s="42" t="str">
        <x:v>Daiana Sanchez</x:v>
      </x:c>
      <x:c r="G69" s="42" t="str">
        <x:v>Exintegrante</x:v>
      </x:c>
      <x:c r="H69" s="48" t="str">
        <x:v>Becaria Doctoral</x:v>
      </x:c>
      <x:c r="I69" s="48" t="str"/>
      <x:c r="J69" s="48" t="str"/>
      <x:c r="K69" s="48" t="str"/>
      <x:c r="L69" s="48" t="str">
        <x:v>https://ifibio-uba.conicet.gov.ar/labs/silberstein/</x:v>
      </x:c>
      <x:c r="M69" s="45" t="n">
        <x:v>46275</x:v>
      </x:c>
    </x:row>
    <x:row r="70" ht="21" customHeight="1">
      <x:c r="A70" s="42" t="str">
        <x:v>Laboratorios</x:v>
      </x:c>
      <x:c r="B70" s="42" t="str">
        <x:v>laboratorio-de-fisiologia-renal</x:v>
      </x:c>
      <x:c r="C70" s="42" t="str">
        <x:v>Laboratorio de Fisiología Renal</x:v>
      </x:c>
      <x:c r="D70" s="42" t="str">
        <x:v>Laboratorio</x:v>
      </x:c>
      <x:c r="E70" s="42" t="str">
        <x:v>Claudia Silberstein</x:v>
      </x:c>
      <x:c r="F70" s="42" t="str">
        <x:v>Lilian Fischer Sigel</x:v>
      </x:c>
      <x:c r="G70" s="42" t="str">
        <x:v>Exintegrante</x:v>
      </x:c>
      <x:c r="H70" s="48" t="str">
        <x:v>Becaria Doctoral</x:v>
      </x:c>
      <x:c r="I70" s="48" t="str"/>
      <x:c r="J70" s="48" t="str"/>
      <x:c r="K70" s="48" t="str"/>
      <x:c r="L70" s="48" t="str">
        <x:v>https://ifibio-uba.conicet.gov.ar/labs/silberstein/</x:v>
      </x:c>
      <x:c r="M70" s="45" t="n">
        <x:v>46275</x:v>
      </x:c>
    </x:row>
    <x:row r="71" ht="21" customHeight="1">
      <x:c r="A71" s="42" t="str">
        <x:v>Laboratorios</x:v>
      </x:c>
      <x:c r="B71" s="42" t="str">
        <x:v>laboratorio-de-fisiopatogenia</x:v>
      </x:c>
      <x:c r="C71" s="42" t="str">
        <x:v>Laboratorio de Fisiopatogenia</x:v>
      </x:c>
      <x:c r="D71" s="42" t="str">
        <x:v>Laboratorio</x:v>
      </x:c>
      <x:c r="E71" s="42" t="str">
        <x:v>Cristina Ibarra</x:v>
      </x:c>
      <x:c r="F71" s="42" t="str">
        <x:v>Cristina Ibarra</x:v>
      </x:c>
      <x:c r="G71" s="42" t="str">
        <x:v>Actual</x:v>
      </x:c>
      <x:c r="H71" s="48" t="str">
        <x:v>Investigadora Principal Ad-Honorem</x:v>
      </x:c>
      <x:c r="I71" s="48" t="str"/>
      <x:c r="J71" s="48" t="str"/>
      <x:c r="K71" s="48" t="str"/>
      <x:c r="L71" s="48" t="str">
        <x:v>https://ifibio-uba.conicet.gov.ar/labs/ibarra/</x:v>
      </x:c>
      <x:c r="M71" s="45" t="n">
        <x:v>46275</x:v>
      </x:c>
    </x:row>
    <x:row r="72" ht="21" customHeight="1">
      <x:c r="A72" s="42" t="str">
        <x:v>Laboratorios</x:v>
      </x:c>
      <x:c r="B72" s="42" t="str">
        <x:v>laboratorio-de-fisiopatogenia</x:v>
      </x:c>
      <x:c r="C72" s="42" t="str">
        <x:v>Laboratorio de Fisiopatogenia</x:v>
      </x:c>
      <x:c r="D72" s="42" t="str">
        <x:v>Laboratorio</x:v>
      </x:c>
      <x:c r="E72" s="42" t="str">
        <x:v>Cristina Ibarra</x:v>
      </x:c>
      <x:c r="F72" s="42" t="str">
        <x:v>Daniel Giron Reyes</x:v>
      </x:c>
      <x:c r="G72" s="42" t="str">
        <x:v>Actual</x:v>
      </x:c>
      <x:c r="H72" s="48" t="str">
        <x:v>Becario Doctoral - Conicet</x:v>
      </x:c>
      <x:c r="I72" s="48" t="str">
        <x:v>Toxina Shiga y SUH</x:v>
      </x:c>
      <x:c r="J72" s="48" t="str"/>
      <x:c r="K72" s="48" t="str"/>
      <x:c r="L72" s="48" t="str">
        <x:v>https://ifibio-uba.conicet.gov.ar/labs/ibarra/</x:v>
      </x:c>
      <x:c r="M72" s="45" t="n">
        <x:v>46275</x:v>
      </x:c>
    </x:row>
    <x:row r="73" ht="21" customHeight="1">
      <x:c r="A73" s="42" t="str">
        <x:v>Laboratorios</x:v>
      </x:c>
      <x:c r="B73" s="42" t="str">
        <x:v>laboratorio-de-fisiopatogenia</x:v>
      </x:c>
      <x:c r="C73" s="42" t="str">
        <x:v>Laboratorio de Fisiopatogenia</x:v>
      </x:c>
      <x:c r="D73" s="42" t="str">
        <x:v>Laboratorio</x:v>
      </x:c>
      <x:c r="E73" s="42" t="str">
        <x:v>Cristina Ibarra</x:v>
      </x:c>
      <x:c r="F73" s="42" t="str">
        <x:v>Elsa Zotta</x:v>
      </x:c>
      <x:c r="G73" s="42" t="str">
        <x:v>Actual</x:v>
      </x:c>
      <x:c r="H73" s="48" t="str">
        <x:v>Investigadora UBA</x:v>
      </x:c>
      <x:c r="I73" s="48" t="str">
        <x:v>Mecanismos del SUH</x:v>
      </x:c>
      <x:c r="J73" s="48" t="str"/>
      <x:c r="K73" s="48" t="str"/>
      <x:c r="L73" s="48" t="str">
        <x:v>https://ifibio-uba.conicet.gov.ar/labs/ibarra/</x:v>
      </x:c>
      <x:c r="M73" s="45" t="n">
        <x:v>46275</x:v>
      </x:c>
    </x:row>
    <x:row r="74" ht="21" customHeight="1">
      <x:c r="A74" s="42" t="str">
        <x:v>Laboratorios</x:v>
      </x:c>
      <x:c r="B74" s="42" t="str">
        <x:v>laboratorio-de-fisiopatogenia</x:v>
      </x:c>
      <x:c r="C74" s="42" t="str">
        <x:v>Laboratorio de Fisiopatogenia</x:v>
      </x:c>
      <x:c r="D74" s="42" t="str">
        <x:v>Laboratorio</x:v>
      </x:c>
      <x:c r="E74" s="42" t="str">
        <x:v>Cristina Ibarra</x:v>
      </x:c>
      <x:c r="F74" s="42" t="str">
        <x:v>Federico Ochoa</x:v>
      </x:c>
      <x:c r="G74" s="42" t="str">
        <x:v>Actual</x:v>
      </x:c>
      <x:c r="H74" s="48" t="str">
        <x:v>Investigador UBA</x:v>
      </x:c>
      <x:c r="I74" s="48" t="str">
        <x:v>Mecanismos del SUH</x:v>
      </x:c>
      <x:c r="J74" s="48" t="str"/>
      <x:c r="K74" s="48" t="str"/>
      <x:c r="L74" s="48" t="str">
        <x:v>https://ifibio-uba.conicet.gov.ar/labs/ibarra/</x:v>
      </x:c>
      <x:c r="M74" s="45" t="n">
        <x:v>46275</x:v>
      </x:c>
    </x:row>
    <x:row r="75" ht="21" customHeight="1">
      <x:c r="A75" s="42" t="str">
        <x:v>Laboratorios</x:v>
      </x:c>
      <x:c r="B75" s="42" t="str">
        <x:v>laboratorio-de-fisiopatogenia</x:v>
      </x:c>
      <x:c r="C75" s="42" t="str">
        <x:v>Laboratorio de Fisiopatogenia</x:v>
      </x:c>
      <x:c r="D75" s="42" t="str">
        <x:v>Laboratorio</x:v>
      </x:c>
      <x:c r="E75" s="42" t="str">
        <x:v>Cristina Ibarra</x:v>
      </x:c>
      <x:c r="F75" s="42" t="str">
        <x:v>Fernando Gómez</x:v>
      </x:c>
      <x:c r="G75" s="42" t="str">
        <x:v>Actual</x:v>
      </x:c>
      <x:c r="H75" s="48" t="str">
        <x:v>Becario Doctoral - Conicet</x:v>
      </x:c>
      <x:c r="I75" s="48" t="str">
        <x:v>Mecanismos de Toxina Shiga</x:v>
      </x:c>
      <x:c r="J75" s="48" t="str"/>
      <x:c r="K75" s="48" t="str"/>
      <x:c r="L75" s="48" t="str">
        <x:v>https://ifibio-uba.conicet.gov.ar/labs/ibarra/</x:v>
      </x:c>
      <x:c r="M75" s="45" t="n">
        <x:v>46275</x:v>
      </x:c>
    </x:row>
    <x:row r="76" ht="21" customHeight="1">
      <x:c r="A76" s="42" t="str">
        <x:v>Laboratorios</x:v>
      </x:c>
      <x:c r="B76" s="42" t="str">
        <x:v>laboratorio-de-fisiopatogenia</x:v>
      </x:c>
      <x:c r="C76" s="42" t="str">
        <x:v>Laboratorio de Fisiopatogenia</x:v>
      </x:c>
      <x:c r="D76" s="42" t="str">
        <x:v>Laboratorio</x:v>
      </x:c>
      <x:c r="E76" s="42" t="str">
        <x:v>Cristina Ibarra</x:v>
      </x:c>
      <x:c r="F76" s="42" t="str">
        <x:v>Flavia Sacerdoti</x:v>
      </x:c>
      <x:c r="G76" s="42" t="str">
        <x:v>Actual</x:v>
      </x:c>
      <x:c r="H76" s="48" t="str">
        <x:v>Investigadora Adjunta</x:v>
      </x:c>
      <x:c r="I76" s="48" t="str">
        <x:v>Mecanismos del SUH</x:v>
      </x:c>
      <x:c r="J76" s="48" t="str"/>
      <x:c r="K76" s="48" t="str"/>
      <x:c r="L76" s="48" t="str">
        <x:v>https://ifibio-uba.conicet.gov.ar/labs/ibarra/</x:v>
      </x:c>
      <x:c r="M76" s="45" t="n">
        <x:v>46275</x:v>
      </x:c>
    </x:row>
    <x:row r="77" ht="21" customHeight="1">
      <x:c r="A77" s="42" t="str">
        <x:v>Laboratorios</x:v>
      </x:c>
      <x:c r="B77" s="42" t="str">
        <x:v>laboratorio-de-fisiopatogenia</x:v>
      </x:c>
      <x:c r="C77" s="42" t="str">
        <x:v>Laboratorio de Fisiopatogenia</x:v>
      </x:c>
      <x:c r="D77" s="42" t="str">
        <x:v>Laboratorio</x:v>
      </x:c>
      <x:c r="E77" s="42" t="str">
        <x:v>Cristina Ibarra</x:v>
      </x:c>
      <x:c r="F77" s="42" t="str">
        <x:v>María Marta Amaral</x:v>
      </x:c>
      <x:c r="G77" s="42" t="str">
        <x:v>Actual</x:v>
      </x:c>
      <x:c r="H77" s="48" t="str">
        <x:v>Investigadora Adjunta - Conicet</x:v>
      </x:c>
      <x:c r="I77" s="48" t="str">
        <x:v>Mecanismos del SUH y Toxina Shiga</x:v>
      </x:c>
      <x:c r="J77" s="48" t="str"/>
      <x:c r="K77" s="48" t="str"/>
      <x:c r="L77" s="48" t="str">
        <x:v>https://ifibio-uba.conicet.gov.ar/labs/ibarra/</x:v>
      </x:c>
      <x:c r="M77" s="45" t="n">
        <x:v>46275</x:v>
      </x:c>
    </x:row>
    <x:row r="78" ht="21" customHeight="1">
      <x:c r="A78" s="42" t="str">
        <x:v>Laboratorios</x:v>
      </x:c>
      <x:c r="B78" s="42" t="str">
        <x:v>laboratorio-de-neurofisiopatologia</x:v>
      </x:c>
      <x:c r="C78" s="42" t="str">
        <x:v>Laboratorio de Neurofisiopatología</x:v>
      </x:c>
      <x:c r="D78" s="42" t="str">
        <x:v>Laboratorio</x:v>
      </x:c>
      <x:c r="E78" s="42" t="str">
        <x:v>Jorge Goldstein</x:v>
      </x:c>
      <x:c r="F78" s="42" t="str">
        <x:v>Alipio Pinto</x:v>
      </x:c>
      <x:c r="G78" s="42" t="str">
        <x:v>Actual</x:v>
      </x:c>
      <x:c r="H78" s="48" t="str">
        <x:v>Investigador Asistente</x:v>
      </x:c>
      <x:c r="I78" s="48" t="str"/>
      <x:c r="J78" s="48" t="str"/>
      <x:c r="K78" s="48" t="str"/>
      <x:c r="L78" s="48" t="str">
        <x:v>https://ifibio-uba.conicet.gov.ar/labs/goldstein/</x:v>
      </x:c>
      <x:c r="M78" s="45" t="n">
        <x:v>46275</x:v>
      </x:c>
    </x:row>
    <x:row r="79" ht="21" customHeight="1">
      <x:c r="A79" s="42" t="str">
        <x:v>Laboratorios</x:v>
      </x:c>
      <x:c r="B79" s="42" t="str">
        <x:v>laboratorio-de-neurofisiopatologia</x:v>
      </x:c>
      <x:c r="C79" s="42" t="str">
        <x:v>Laboratorio de Neurofisiopatología</x:v>
      </x:c>
      <x:c r="D79" s="42" t="str">
        <x:v>Laboratorio</x:v>
      </x:c>
      <x:c r="E79" s="42" t="str">
        <x:v>Jorge Goldstein</x:v>
      </x:c>
      <x:c r="F79" s="42" t="str">
        <x:v>Jorge Goldstein</x:v>
      </x:c>
      <x:c r="G79" s="42" t="str">
        <x:v>Actual</x:v>
      </x:c>
      <x:c r="H79" s="48" t="str">
        <x:v>Investigador Independiente</x:v>
      </x:c>
      <x:c r="I79" s="48" t="str">
        <x:v>Neurofisiopatología</x:v>
      </x:c>
      <x:c r="J79" s="48" t="str"/>
      <x:c r="K79" s="48" t="str"/>
      <x:c r="L79" s="48" t="str">
        <x:v>https://ifibio-uba.conicet.gov.ar/labs/goldstein/</x:v>
      </x:c>
      <x:c r="M79" s="45" t="n">
        <x:v>46275</x:v>
      </x:c>
    </x:row>
    <x:row r="80" ht="21" customHeight="1">
      <x:c r="A80" s="42" t="str">
        <x:v>Laboratorios</x:v>
      </x:c>
      <x:c r="B80" s="42" t="str">
        <x:v>laboratorio-de-neuropsicologia-de-la-performance</x:v>
      </x:c>
      <x:c r="C80" s="42" t="str">
        <x:v>Laboratorio de Neuropsicología de la Performance</x:v>
      </x:c>
      <x:c r="D80" s="42" t="str">
        <x:v>Laboratorio</x:v>
      </x:c>
      <x:c r="E80" s="42" t="str">
        <x:v>Mariano Blake</x:v>
      </x:c>
      <x:c r="F80" s="42" t="str">
        <x:v>Mariano Blake</x:v>
      </x:c>
      <x:c r="G80" s="42" t="str">
        <x:v>Actual</x:v>
      </x:c>
      <x:c r="H80" s="48" t="str">
        <x:v>Investigador Adjunto - Conicet</x:v>
      </x:c>
      <x:c r="I80" s="48" t="str">
        <x:v>Neuropsicología de la Performance</x:v>
      </x:c>
      <x:c r="J80" s="48" t="str"/>
      <x:c r="K80" s="48" t="str"/>
      <x:c r="L80" s="48" t="str">
        <x:v>https://ifibio-uba.conicet.gov.ar/labs/blake/</x:v>
      </x:c>
      <x:c r="M80" s="45" t="n">
        <x:v>46275</x:v>
      </x:c>
    </x:row>
    <x:row r="81" ht="21" customHeight="1">
      <x:c r="A81" s="42" t="str">
        <x:v>Laboratorios</x:v>
      </x:c>
      <x:c r="B81" s="42" t="str">
        <x:v>laboratorio-de-neuropsicologia-de-la-performance</x:v>
      </x:c>
      <x:c r="C81" s="42" t="str">
        <x:v>Laboratorio de Neuropsicología de la Performance</x:v>
      </x:c>
      <x:c r="D81" s="42" t="str">
        <x:v>Laboratorio</x:v>
      </x:c>
      <x:c r="E81" s="42" t="str">
        <x:v>Mariano Blake</x:v>
      </x:c>
      <x:c r="F81" s="42" t="str">
        <x:v>Nicolás Cristi</x:v>
      </x:c>
      <x:c r="G81" s="42" t="str">
        <x:v>Conflicto: actual y exintegrante</x:v>
      </x:c>
      <x:c r="H81" s="48" t="str">
        <x:v>Becario de Grado - UBA</x:v>
      </x:c>
      <x:c r="I81" s="48" t="str"/>
      <x:c r="J81" s="48" t="str"/>
      <x:c r="K81" s="48" t="str">
        <x:v>Estado contradictorio en el sitio oficial</x:v>
      </x:c>
      <x:c r="L81" s="48" t="str">
        <x:v>https://ifibio-uba.conicet.gov.ar/labs/blake/</x:v>
      </x:c>
      <x:c r="M81" s="45" t="n">
        <x:v>46275</x:v>
      </x:c>
    </x:row>
    <x:row r="82" ht="21" customHeight="1">
      <x:c r="A82" s="42" t="str">
        <x:v>Personal de Apoyo</x:v>
      </x:c>
      <x:c r="B82" s="42" t="str">
        <x:v>servicios-apoyo-tecnico</x:v>
      </x:c>
      <x:c r="C82" s="42" t="str">
        <x:v>Personal de Apoyo</x:v>
      </x:c>
      <x:c r="D82" s="42" t="str">
        <x:v>Sector institucional</x:v>
      </x:c>
      <x:c r="E82" s="42" t="str"/>
      <x:c r="F82" s="42" t="str">
        <x:v>Agostina Presta</x:v>
      </x:c>
      <x:c r="G82" s="42" t="str">
        <x:v>Actual</x:v>
      </x:c>
      <x:c r="H82" s="48" t="str">
        <x:v>Técnica Asistente - Conicet</x:v>
      </x:c>
      <x:c r="I82" s="48" t="str"/>
      <x:c r="J82" s="48" t="str">
        <x:v>Histología</x:v>
      </x:c>
      <x:c r="K82" s="48" t="str"/>
      <x:c r="L82" s="48" t="str">
        <x:v>https://ifibio-uba.conicet.gov.ar/personal-del-instituto/cpa/</x:v>
      </x:c>
      <x:c r="M82" s="45" t="n">
        <x:v>46275</x:v>
      </x:c>
    </x:row>
    <x:row r="83" ht="21" customHeight="1">
      <x:c r="A83" s="42" t="str">
        <x:v>Personal de Apoyo</x:v>
      </x:c>
      <x:c r="B83" s="42" t="str">
        <x:v>servicios-apoyo-tecnico</x:v>
      </x:c>
      <x:c r="C83" s="42" t="str">
        <x:v>Personal de Apoyo</x:v>
      </x:c>
      <x:c r="D83" s="42" t="str">
        <x:v>Sector institucional</x:v>
      </x:c>
      <x:c r="E83" s="42" t="str"/>
      <x:c r="F83" s="42" t="str">
        <x:v>Analía López Díaz</x:v>
      </x:c>
      <x:c r="G83" s="42" t="str">
        <x:v>Actual</x:v>
      </x:c>
      <x:c r="H83" s="48" t="str">
        <x:v>Técnica Asociada - Conicet</x:v>
      </x:c>
      <x:c r="I83" s="48" t="str"/>
      <x:c r="J83" s="48" t="str">
        <x:v>Biología Molecular</x:v>
      </x:c>
      <x:c r="K83" s="48" t="str"/>
      <x:c r="L83" s="48" t="str">
        <x:v>https://ifibio-uba.conicet.gov.ar/personal-del-instituto/cpa/</x:v>
      </x:c>
      <x:c r="M83" s="45" t="n">
        <x:v>46275</x:v>
      </x:c>
    </x:row>
    <x:row r="84" ht="21" customHeight="1">
      <x:c r="A84" s="42" t="str">
        <x:v>Personal de Apoyo</x:v>
      </x:c>
      <x:c r="B84" s="42" t="str">
        <x:v>servicios-apoyo-tecnico</x:v>
      </x:c>
      <x:c r="C84" s="42" t="str">
        <x:v>Personal de Apoyo</x:v>
      </x:c>
      <x:c r="D84" s="42" t="str">
        <x:v>Sector institucional</x:v>
      </x:c>
      <x:c r="E84" s="42" t="str"/>
      <x:c r="F84" s="42" t="str">
        <x:v>Bárbara Giugovaz Tropper</x:v>
      </x:c>
      <x:c r="G84" s="42" t="str">
        <x:v>Actual</x:v>
      </x:c>
      <x:c r="H84" s="48" t="str">
        <x:v>Profesional Adjunta - Conicet</x:v>
      </x:c>
      <x:c r="I84" s="48" t="str"/>
      <x:c r="J84" s="48" t="str">
        <x:v>Electrofisiología</x:v>
      </x:c>
      <x:c r="K84" s="48" t="str"/>
      <x:c r="L84" s="48" t="str">
        <x:v>https://ifibio-uba.conicet.gov.ar/personal-del-instituto/cpa/</x:v>
      </x:c>
      <x:c r="M84" s="45" t="n">
        <x:v>46275</x:v>
      </x:c>
    </x:row>
    <x:row r="85" ht="21" customHeight="1">
      <x:c r="A85" s="42" t="str">
        <x:v>Personal de Apoyo</x:v>
      </x:c>
      <x:c r="B85" s="42" t="str">
        <x:v>servicios-apoyo-tecnico</x:v>
      </x:c>
      <x:c r="C85" s="42" t="str">
        <x:v>Personal de Apoyo</x:v>
      </x:c>
      <x:c r="D85" s="42" t="str">
        <x:v>Sector institucional</x:v>
      </x:c>
      <x:c r="E85" s="42" t="str"/>
      <x:c r="F85" s="42" t="str">
        <x:v>Esteban Valverde</x:v>
      </x:c>
      <x:c r="G85" s="42" t="str">
        <x:v>Actual</x:v>
      </x:c>
      <x:c r="H85" s="48" t="str">
        <x:v>Profesional Adjunto - Conicet</x:v>
      </x:c>
      <x:c r="I85" s="48" t="str"/>
      <x:c r="J85" s="48" t="str">
        <x:v>Ingeniero Electrónico</x:v>
      </x:c>
      <x:c r="K85" s="48" t="str"/>
      <x:c r="L85" s="48" t="str">
        <x:v>https://ifibio-uba.conicet.gov.ar/personal-del-instituto/cpa/</x:v>
      </x:c>
      <x:c r="M85" s="45" t="n">
        <x:v>46275</x:v>
      </x:c>
    </x:row>
    <x:row r="86" ht="21" customHeight="1">
      <x:c r="A86" s="42" t="str">
        <x:v>Personal de Apoyo</x:v>
      </x:c>
      <x:c r="B86" s="42" t="str">
        <x:v>servicios-apoyo-tecnico</x:v>
      </x:c>
      <x:c r="C86" s="42" t="str">
        <x:v>Personal de Apoyo</x:v>
      </x:c>
      <x:c r="D86" s="42" t="str">
        <x:v>Sector institucional</x:v>
      </x:c>
      <x:c r="E86" s="42" t="str"/>
      <x:c r="F86" s="42" t="str">
        <x:v>Germán La Iacona</x:v>
      </x:c>
      <x:c r="G86" s="42" t="str">
        <x:v>Actual</x:v>
      </x:c>
      <x:c r="H86" s="48" t="str">
        <x:v>Técnico Principal - Conicet</x:v>
      </x:c>
      <x:c r="I86" s="48" t="str"/>
      <x:c r="J86" s="48" t="str">
        <x:v>Microscopía</x:v>
      </x:c>
      <x:c r="K86" s="48" t="str"/>
      <x:c r="L86" s="48" t="str">
        <x:v>https://ifibio-uba.conicet.gov.ar/personal-del-instituto/cpa/</x:v>
      </x:c>
      <x:c r="M86" s="45" t="n">
        <x:v>46275</x:v>
      </x:c>
    </x:row>
    <x:row r="87" ht="21" customHeight="1">
      <x:c r="A87" s="42" t="str">
        <x:v>Personal de Apoyo</x:v>
      </x:c>
      <x:c r="B87" s="42" t="str">
        <x:v>servicios-apoyo-tecnico</x:v>
      </x:c>
      <x:c r="C87" s="42" t="str">
        <x:v>Personal de Apoyo</x:v>
      </x:c>
      <x:c r="D87" s="42" t="str">
        <x:v>Sector institucional</x:v>
      </x:c>
      <x:c r="E87" s="42" t="str"/>
      <x:c r="F87" s="42" t="str">
        <x:v>Juan Casal</x:v>
      </x:c>
      <x:c r="G87" s="42" t="str">
        <x:v>Actual</x:v>
      </x:c>
      <x:c r="H87" s="48" t="str">
        <x:v>Profesional Asistente - Conicet</x:v>
      </x:c>
      <x:c r="I87" s="48" t="str"/>
      <x:c r="J87" s="48" t="str">
        <x:v>Bioinformática</x:v>
      </x:c>
      <x:c r="K87" s="48" t="str"/>
      <x:c r="L87" s="48" t="str">
        <x:v>https://ifibio-uba.conicet.gov.ar/personal-del-instituto/cpa/</x:v>
      </x:c>
      <x:c r="M87" s="45" t="n">
        <x:v>46275</x:v>
      </x:c>
    </x:row>
    <x:row r="88" ht="21" customHeight="1">
      <x:c r="A88" s="42" t="str">
        <x:v>Personal de Apoyo</x:v>
      </x:c>
      <x:c r="B88" s="42" t="str">
        <x:v>servicios-apoyo-tecnico</x:v>
      </x:c>
      <x:c r="C88" s="42" t="str">
        <x:v>Personal de Apoyo</x:v>
      </x:c>
      <x:c r="D88" s="42" t="str">
        <x:v>Sector institucional</x:v>
      </x:c>
      <x:c r="E88" s="42" t="str"/>
      <x:c r="F88" s="42" t="str">
        <x:v>Lucía Garbini</x:v>
      </x:c>
      <x:c r="G88" s="42" t="str">
        <x:v>Actual</x:v>
      </x:c>
      <x:c r="H88" s="48" t="str">
        <x:v>Técnica Asistente - Conicet</x:v>
      </x:c>
      <x:c r="I88" s="48" t="str"/>
      <x:c r="J88" s="48" t="str">
        <x:v>Bioterista</x:v>
      </x:c>
      <x:c r="K88" s="48" t="str"/>
      <x:c r="L88" s="48" t="str">
        <x:v>https://ifibio-uba.conicet.gov.ar/personal-del-instituto/cpa/</x:v>
      </x:c>
      <x:c r="M88" s="45" t="n">
        <x:v>46275</x:v>
      </x:c>
    </x:row>
    <x:row r="89" ht="21" customHeight="1">
      <x:c r="A89" s="42" t="str">
        <x:v>Personal de Apoyo</x:v>
      </x:c>
      <x:c r="B89" s="42" t="str">
        <x:v>servicios-apoyo-tecnico</x:v>
      </x:c>
      <x:c r="C89" s="42" t="str">
        <x:v>Personal de Apoyo</x:v>
      </x:c>
      <x:c r="D89" s="42" t="str">
        <x:v>Sector institucional</x:v>
      </x:c>
      <x:c r="E89" s="42" t="str"/>
      <x:c r="F89" s="42" t="str">
        <x:v>Natalia Beltramone</x:v>
      </x:c>
      <x:c r="G89" s="42" t="str">
        <x:v>Actual</x:v>
      </x:c>
      <x:c r="H89" s="48" t="str">
        <x:v>Técnica Principal - Conicet</x:v>
      </x:c>
      <x:c r="I89" s="48" t="str"/>
      <x:c r="J89" s="48" t="str">
        <x:v>Cultivos Celulares</x:v>
      </x:c>
      <x:c r="K89" s="48" t="str"/>
      <x:c r="L89" s="48" t="str">
        <x:v>https://ifibio-uba.conicet.gov.ar/personal-del-instituto/cpa/</x:v>
      </x:c>
      <x:c r="M89" s="45" t="n">
        <x:v>46275</x:v>
      </x:c>
    </x:row>
    <x:row r="90" ht="21" customHeight="1">
      <x:c r="A90" s="43" t="str">
        <x:v>Personal de Apoyo</x:v>
      </x:c>
      <x:c r="B90" s="43" t="str">
        <x:v>servicios-apoyo-tecnico</x:v>
      </x:c>
      <x:c r="C90" s="43" t="str">
        <x:v>Personal de Apoyo</x:v>
      </x:c>
      <x:c r="D90" s="43" t="str">
        <x:v>Sector institucional</x:v>
      </x:c>
      <x:c r="E90" s="43" t="str"/>
      <x:c r="F90" s="43" t="str">
        <x:v>Verónica Risso</x:v>
      </x:c>
      <x:c r="G90" s="43" t="str">
        <x:v>Actual</x:v>
      </x:c>
      <x:c r="H90" s="49" t="str">
        <x:v>Técnica Principal - Conicet</x:v>
      </x:c>
      <x:c r="I90" s="49" t="str"/>
      <x:c r="J90" s="49" t="str">
        <x:v>Bioterista</x:v>
      </x:c>
      <x:c r="K90" s="49" t="str"/>
      <x:c r="L90" s="49" t="str">
        <x:v>https://ifibio-uba.conicet.gov.ar/personal-del-instituto/cpa/</x:v>
      </x:c>
      <x:c r="M90" s="46" t="n">
        <x:v>46275</x:v>
      </x:c>
    </x:row>
  </x:sheetData>
  <x:conditionalFormatting sqref="G2:G90">
    <x:cfRule type="expression" dxfId="4" priority="1">
      <x:formula>$G2="Actual"</x:formula>
    </x:cfRule>
    <x:cfRule type="expression" dxfId="5" priority="2">
      <x:formula>$G2="Exintegrante"</x:formula>
    </x:cfRule>
    <x:cfRule type="expression" dxfId="6" priority="3">
      <x:formula>LEFT($G2,9)="Conflicto"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32bfe2add0c437f"/>
  </x:tableParts>
</x:worksheet>
</file>